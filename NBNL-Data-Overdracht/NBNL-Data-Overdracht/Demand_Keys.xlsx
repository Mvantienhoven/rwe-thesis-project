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tno-my.sharepoint.com/personal/kevin_hasselaar_tno_nl/Documents/Desktop/NBNL-Data-Overdracht/"/>
    </mc:Choice>
  </mc:AlternateContent>
  <xr:revisionPtr revIDLastSave="0" documentId="8_{CF946EF7-2B22-4DF0-88BC-64AF0F7017F9}" xr6:coauthVersionLast="47" xr6:coauthVersionMax="47" xr10:uidLastSave="{00000000-0000-0000-0000-000000000000}"/>
  <bookViews>
    <workbookView xWindow="-4950" yWindow="-21600" windowWidth="19410" windowHeight="20985" activeTab="3" xr2:uid="{3D71A9C4-BCC4-4F68-8C56-99E191D816A0}"/>
  </bookViews>
  <sheets>
    <sheet name="Gas" sheetId="1" r:id="rId1"/>
    <sheet name="Heat" sheetId="2" r:id="rId2"/>
    <sheet name="Hydrogen" sheetId="3" r:id="rId3"/>
    <sheet name="Pow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2" i="4" l="1"/>
  <c r="D66" i="3"/>
  <c r="C68" i="3"/>
  <c r="C66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8" i="3"/>
  <c r="D69" i="3"/>
  <c r="F287" i="4"/>
  <c r="G287" i="4"/>
  <c r="G127" i="4"/>
  <c r="F127" i="4"/>
  <c r="F144" i="4"/>
  <c r="G144" i="4" s="1"/>
  <c r="F194" i="4"/>
  <c r="G194" i="4"/>
  <c r="F223" i="4"/>
  <c r="G223" i="4"/>
  <c r="F268" i="4"/>
  <c r="G268" i="4" s="1"/>
  <c r="F284" i="4"/>
  <c r="G284" i="4" s="1"/>
  <c r="C292" i="4"/>
  <c r="D290" i="4"/>
  <c r="D289" i="4"/>
  <c r="D287" i="4"/>
  <c r="C287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" i="4"/>
  <c r="C69" i="3" l="1"/>
</calcChain>
</file>

<file path=xl/sharedStrings.xml><?xml version="1.0" encoding="utf-8"?>
<sst xmlns="http://schemas.openxmlformats.org/spreadsheetml/2006/main" count="541" uniqueCount="518">
  <si>
    <t>Time</t>
  </si>
  <si>
    <t>energy_chemical_fertilizers_transformation_external_coupling_node.output (MW)</t>
  </si>
  <si>
    <t>energy_chemical_other_transformation_external_coupling_node.output (MW)</t>
  </si>
  <si>
    <t>energy_chemical_refineries_transformation_external_coupling_node.output (MW)</t>
  </si>
  <si>
    <t>energy_distribution_propane.output (MW)</t>
  </si>
  <si>
    <t>energy_extraction_natural_gas.output (MW)</t>
  </si>
  <si>
    <t>energy_greengas_gasification_dry_biomass.output (MW)</t>
  </si>
  <si>
    <t>energy_greengas_gasification_wet_biomass.output (MW)</t>
  </si>
  <si>
    <t>energy_greengas_upgrade_biogas.output (MW)</t>
  </si>
  <si>
    <t>energy_import_natural_gas.output (MW)</t>
  </si>
  <si>
    <t>energy_network_gas_storage.output (MW)</t>
  </si>
  <si>
    <t>energy_regasification_lng.output (MW)</t>
  </si>
  <si>
    <t>agriculture_burner_network_gas.input (MW)</t>
  </si>
  <si>
    <t>agriculture_chp_engine_network_gas_dispatchable.input (MW)</t>
  </si>
  <si>
    <t>agriculture_chp_engine_network_gas_must_run.input (MW)</t>
  </si>
  <si>
    <t>agriculture_heat_backup_burner_network_gas.input (MW)</t>
  </si>
  <si>
    <t>buildings_appliances_network_gas.input (MW)</t>
  </si>
  <si>
    <t>buildings_cooling_heatpump_air_water_network_gas.input (MW)</t>
  </si>
  <si>
    <t>buildings_space_heater_heatpump_air_water_network_gas.input (MW)</t>
  </si>
  <si>
    <t>buildings_space_heater_hybrid_heatpump_air_water_electricity.input (MW)</t>
  </si>
  <si>
    <t>buildings_space_heater_network_gas.input (MW)</t>
  </si>
  <si>
    <t>energy_chemical_fertilizers_transformation_external_coupling_node.input (MW)</t>
  </si>
  <si>
    <t>energy_chemical_other_transformation_external_coupling_node.input (MW)</t>
  </si>
  <si>
    <t>energy_chemical_refineries_transformation_external_coupling_node.input (MW)</t>
  </si>
  <si>
    <t>energy_chp_combined_cycle_ht_network_gas.input (MW)</t>
  </si>
  <si>
    <t>energy_chp_combined_cycle_mt_network_gas.input (MW)</t>
  </si>
  <si>
    <t>energy_chp_local_engine_ht_network_gas.input (MW)</t>
  </si>
  <si>
    <t>energy_chp_local_engine_mt_network_gas.input (MW)</t>
  </si>
  <si>
    <t>energy_compressor_network_gas.input (MW)</t>
  </si>
  <si>
    <t>energy_distribution_network_gas_loss.input (MW)</t>
  </si>
  <si>
    <t>energy_export_greengas_backup.input (MW)</t>
  </si>
  <si>
    <t>energy_export_greengas_baseload.input (MW)</t>
  </si>
  <si>
    <t>energy_export_natural_gas_backup.input (MW)</t>
  </si>
  <si>
    <t>energy_export_natural_gas_baseload.input (MW)</t>
  </si>
  <si>
    <t>energy_heat_backup_burner_ht_network_gas.input (MW)</t>
  </si>
  <si>
    <t>energy_heat_backup_burner_lt_network_gas.input (MW)</t>
  </si>
  <si>
    <t>energy_heat_backup_burner_mt_network_gas.input (MW)</t>
  </si>
  <si>
    <t>energy_heat_burner_ht_network_gas.input (MW)</t>
  </si>
  <si>
    <t>energy_heat_burner_mt_network_gas.input (MW)</t>
  </si>
  <si>
    <t>energy_hydrogen_autothermal_reformer_ccs_must_run.input (MW)</t>
  </si>
  <si>
    <t>energy_hydrogen_autothermal_reformer_dispatchable.input (MW)</t>
  </si>
  <si>
    <t>energy_hydrogen_autothermal_reformer_must_run.input (MW)</t>
  </si>
  <si>
    <t>energy_hydrogen_biomass_gasification.input (MW)</t>
  </si>
  <si>
    <t>energy_hydrogen_biomass_gasification_ccs.input (MW)</t>
  </si>
  <si>
    <t>energy_hydrogen_steam_methane_reformer_ccs_must_run.input (MW)</t>
  </si>
  <si>
    <t>energy_hydrogen_steam_methane_reformer_dispatchable.input (MW)</t>
  </si>
  <si>
    <t>energy_hydrogen_steam_methane_reformer_must_run.input (MW)</t>
  </si>
  <si>
    <t>energy_network_gas_storage.input (MW)</t>
  </si>
  <si>
    <t>energy_power_combined_cycle_ccs_network_gas.input (MW)</t>
  </si>
  <si>
    <t>energy_power_combined_cycle_network_gas.input (MW)</t>
  </si>
  <si>
    <t>energy_power_engine_network_gas.input (MW)</t>
  </si>
  <si>
    <t>energy_power_turbine_network_gas.input (MW)</t>
  </si>
  <si>
    <t>energy_power_ultra_supercritical_network_gas.input (MW)</t>
  </si>
  <si>
    <t>energy_torrefaction_wood.input (MW)</t>
  </si>
  <si>
    <t>energy_treatment_natural_gas_loss.input (MW)</t>
  </si>
  <si>
    <t>households_cooker_network_gas.input (MW)</t>
  </si>
  <si>
    <t>households_space_heater_combined_network_gas.input (MW)</t>
  </si>
  <si>
    <t>households_space_heater_hybrid_heatpump_air_water_electricity.input (MW)</t>
  </si>
  <si>
    <t>households_space_heater_network_gas.input (MW)</t>
  </si>
  <si>
    <t>households_water_heater_combined_network_gas.input (MW)</t>
  </si>
  <si>
    <t>households_water_heater_hybrid_heatpump_air_water_electricity.input (MW)</t>
  </si>
  <si>
    <t>households_water_heater_network_gas.input (MW)</t>
  </si>
  <si>
    <t>industry_chemicals_fertilizers_burner_network_gas.input (MW)</t>
  </si>
  <si>
    <t>industry_chemicals_other_burner_network_gas.input (MW)</t>
  </si>
  <si>
    <t>industry_chemicals_refineries_burner_network_gas.input (MW)</t>
  </si>
  <si>
    <t>industry_chp_combined_cycle_gas_power_fuelmix.input (MW)</t>
  </si>
  <si>
    <t>industry_chp_engine_gas_power_fuelmix.input (MW)</t>
  </si>
  <si>
    <t>industry_chp_turbine_gas_power_fuelmix.input (MW)</t>
  </si>
  <si>
    <t>industry_final_demand_for_chemical_fertilizers_network_gas_non_energetic.input (MW)</t>
  </si>
  <si>
    <t>industry_final_demand_for_chemical_other_network_gas_non_energetic.input (MW)</t>
  </si>
  <si>
    <t>industry_final_demand_for_chemical_refineries_network_gas_non_energetic.input (MW)</t>
  </si>
  <si>
    <t>industry_final_demand_for_metal_aluminium_network_gas.input (MW)</t>
  </si>
  <si>
    <t>industry_final_demand_for_metal_other_metals_network_gas.input (MW)</t>
  </si>
  <si>
    <t>industry_final_demand_for_metal_steel_network_gas.input (MW)</t>
  </si>
  <si>
    <t>industry_final_demand_for_other_non_specified_network_gas.input (MW)</t>
  </si>
  <si>
    <t>industry_final_demand_for_other_non_specified_network_gas_non_energetic.input (MW)</t>
  </si>
  <si>
    <t>industry_heat_backup_burner_network_gas.input (MW)</t>
  </si>
  <si>
    <t>industry_heat_combined_cycle_gas_power_fuelmix.input (MW)</t>
  </si>
  <si>
    <t>industry_heat_engine_gas_power_fuelmix.input (MW)</t>
  </si>
  <si>
    <t>industry_heat_turbine_gas_power_fuelmix.input (MW)</t>
  </si>
  <si>
    <t>industry_other_food_burner_network_gas.input (MW)</t>
  </si>
  <si>
    <t>industry_other_paper_burner_network_gas.input (MW)</t>
  </si>
  <si>
    <t>other_final_demand_network_gas.input (MW)</t>
  </si>
  <si>
    <t>lt.energy_heat_backup_burner_lt_network_gas.output (MW)</t>
  </si>
  <si>
    <t>lt.energy_heat_boiler_lt_electricity.output (MW)</t>
  </si>
  <si>
    <t>lt.energy_heat_burner_lt_hydrogen.output (MW)</t>
  </si>
  <si>
    <t>lt.energy_heat_heatpump_drink_water_water_ts_lt_electricity.output (MW)</t>
  </si>
  <si>
    <t>lt.energy_heat_heatpump_surface_water_water_ts_lt_electricity.output (MW)</t>
  </si>
  <si>
    <t>lt.energy_heat_heatpump_waste_water_water_ts_lt_electricity.output (MW)</t>
  </si>
  <si>
    <t>lt.energy_heat_heatpump_water_water_lt_electricity.output (MW)</t>
  </si>
  <si>
    <t>lt.energy_heat_import_lt_steam_hot_water.output (MW)</t>
  </si>
  <si>
    <t>lt.energy_heat_network_storage_lt_steam_hot_water.output (MW)</t>
  </si>
  <si>
    <t>lt.energy_heat_production_lt_residual_heat.output (MW)</t>
  </si>
  <si>
    <t>lt.energy_heat_solar_lt_solar_thermal.output (MW)</t>
  </si>
  <si>
    <t>lt.energy_heat_well_shallow_lt_geothermal.output (MW)</t>
  </si>
  <si>
    <t>lt.buildings_space_heater_district_heating_lt_steam_hot_water.input (MW)</t>
  </si>
  <si>
    <t>lt.energy_heat_distribution_lt_loss.input (MW)</t>
  </si>
  <si>
    <t>lt.energy_heat_network_storage_lt_steam_hot_water.input (MW)</t>
  </si>
  <si>
    <t>lt.energy_heat_unused_lt_steam_hot_water.input (MW)</t>
  </si>
  <si>
    <t>lt.households_space_heater_district_heating_lt_steam_hot_water.input (MW)</t>
  </si>
  <si>
    <t>lt.households_water_heater_district_heating_lt_steam_hot_water.input (MW)</t>
  </si>
  <si>
    <t>lt.deficit</t>
  </si>
  <si>
    <t>mt.energy_chp_combined_cycle_mt_network_gas.output (MW)</t>
  </si>
  <si>
    <t>mt.energy_chp_local_engine_mt_biogas.output (MW)</t>
  </si>
  <si>
    <t>mt.energy_chp_local_engine_mt_network_gas.output (MW)</t>
  </si>
  <si>
    <t>mt.energy_chp_local_mt_wood_pellets_ccs_dispatchable.output (MW)</t>
  </si>
  <si>
    <t>mt.energy_chp_local_mt_wood_pellets_ccs_must_run.output (MW)</t>
  </si>
  <si>
    <t>mt.energy_chp_local_mt_wood_pellets_dispatchable.output (MW)</t>
  </si>
  <si>
    <t>mt.energy_chp_local_mt_wood_pellets_must_run.output (MW)</t>
  </si>
  <si>
    <t>mt.energy_chp_supercritical_ccs_mt_waste_mix.output (MW)</t>
  </si>
  <si>
    <t>mt.energy_chp_supercritical_mt_waste_mix.output (MW)</t>
  </si>
  <si>
    <t>mt.energy_chp_ultra_supercritical_cofiring_mt_coal.output (MW)</t>
  </si>
  <si>
    <t>mt.energy_chp_ultra_supercritical_mt_coal.output (MW)</t>
  </si>
  <si>
    <t>mt.energy_chp_ultra_supercritical_mt_lignite.output (MW)</t>
  </si>
  <si>
    <t>mt.energy_heat_backup_burner_mt_network_gas.output (MW)</t>
  </si>
  <si>
    <t>mt.energy_heat_boiler_mt_electricity.output (MW)</t>
  </si>
  <si>
    <t>mt.energy_heat_burner_mt_coal.output (MW)</t>
  </si>
  <si>
    <t>mt.energy_heat_burner_mt_crude_oil.output (MW)</t>
  </si>
  <si>
    <t>mt.energy_heat_burner_mt_hydrogen.output (MW)</t>
  </si>
  <si>
    <t>mt.energy_heat_burner_mt_network_gas.output (MW)</t>
  </si>
  <si>
    <t>mt.energy_heat_burner_mt_waste_mix.output (MW)</t>
  </si>
  <si>
    <t>mt.energy_heat_burner_mt_wood_pellets.output (MW)</t>
  </si>
  <si>
    <t>mt.energy_heat_flexibility_p2h_boiler_mt_electricity.output (MW)</t>
  </si>
  <si>
    <t>mt.energy_heat_flexibility_p2h_heatpump_mt_electricity.output (MW)</t>
  </si>
  <si>
    <t>mt.energy_heat_heatpump_drink_water_water_ts_mt_electricity.output (MW)</t>
  </si>
  <si>
    <t>mt.energy_heat_heatpump_surface_water_water_ts_mt_electricity.output (MW)</t>
  </si>
  <si>
    <t>mt.energy_heat_heatpump_waste_water_water_ts_mt_electricity.output (MW)</t>
  </si>
  <si>
    <t>mt.energy_heat_heatpump_water_water_mt_electricity.output (MW)</t>
  </si>
  <si>
    <t>mt.energy_heat_import_mt_steam_hot_water.output (MW)</t>
  </si>
  <si>
    <t>mt.energy_heat_network_storage_mt_steam_hot_water.output (MW)</t>
  </si>
  <si>
    <t>mt.energy_heat_production_mt_residual_heat.output (MW)</t>
  </si>
  <si>
    <t>mt.energy_heat_solar_mt_solar_thermal.output (MW)</t>
  </si>
  <si>
    <t>mt.energy_heat_well_deep_mt_geothermal.output (MW)</t>
  </si>
  <si>
    <t>mt.energy_heat_well_shallow_heatpump_mt_geothermal.output (MW)</t>
  </si>
  <si>
    <t>mt.agriculture_final_demand_mt_steam_hot_water.input (MW)</t>
  </si>
  <si>
    <t>mt.buildings_space_heater_district_heating_mt_steam_hot_water.input (MW)</t>
  </si>
  <si>
    <t>mt.energy_heat_distribution_mt_loss.input (MW)</t>
  </si>
  <si>
    <t>mt.energy_heat_network_storage_mt_steam_hot_water.input (MW)</t>
  </si>
  <si>
    <t>mt.energy_heat_unused_mt_steam_hot_water.input (MW)</t>
  </si>
  <si>
    <t>mt.households_space_heater_district_heating_mt_steam_hot_water.input (MW)</t>
  </si>
  <si>
    <t>mt.households_water_heater_district_heating_mt_steam_hot_water.input (MW)</t>
  </si>
  <si>
    <t>mt.deficit</t>
  </si>
  <si>
    <t>ht.energy_chp_combined_cycle_ht_network_gas.output (MW)</t>
  </si>
  <si>
    <t>ht.energy_chp_local_engine_ht_biogas.output (MW)</t>
  </si>
  <si>
    <t>ht.energy_chp_local_engine_ht_network_gas.output (MW)</t>
  </si>
  <si>
    <t>ht.energy_chp_local_ht_wood_pellets_ccs_dispatchable.output (MW)</t>
  </si>
  <si>
    <t>ht.energy_chp_local_ht_wood_pellets_ccs_must_run.output (MW)</t>
  </si>
  <si>
    <t>ht.energy_chp_local_ht_wood_pellets_dispatchable.output (MW)</t>
  </si>
  <si>
    <t>ht.energy_chp_local_ht_wood_pellets_must_run.output (MW)</t>
  </si>
  <si>
    <t>ht.energy_chp_supercritical_ccs_ht_waste_mix.output (MW)</t>
  </si>
  <si>
    <t>ht.energy_chp_supercritical_ht_waste_mix.output (MW)</t>
  </si>
  <si>
    <t>ht.energy_chp_ultra_supercritical_cofiring_ht_coal.output (MW)</t>
  </si>
  <si>
    <t>ht.energy_chp_ultra_supercritical_ht_coal.output (MW)</t>
  </si>
  <si>
    <t>ht.energy_chp_ultra_supercritical_ht_lignite.output (MW)</t>
  </si>
  <si>
    <t>ht.energy_heat_backup_burner_ht_network_gas.output (MW)</t>
  </si>
  <si>
    <t>ht.energy_heat_boiler_ht_electricity.output (MW)</t>
  </si>
  <si>
    <t>ht.energy_heat_burner_ht_coal.output (MW)</t>
  </si>
  <si>
    <t>ht.energy_heat_burner_ht_crude_oil.output (MW)</t>
  </si>
  <si>
    <t>ht.energy_heat_burner_ht_hydrogen.output (MW)</t>
  </si>
  <si>
    <t>ht.energy_heat_burner_ht_network_gas.output (MW)</t>
  </si>
  <si>
    <t>ht.energy_heat_burner_ht_waste_mix.output (MW)</t>
  </si>
  <si>
    <t>ht.energy_heat_burner_ht_wood_pellets.output (MW)</t>
  </si>
  <si>
    <t>ht.energy_heat_flexibility_p2h_boiler_ht_electricity.output (MW)</t>
  </si>
  <si>
    <t>ht.energy_heat_flexibility_p2h_heatpump_ht_electricity.output (MW)</t>
  </si>
  <si>
    <t>ht.energy_heat_heatpump_water_water_ht_electricity.output (MW)</t>
  </si>
  <si>
    <t>ht.energy_heat_import_ht_steam_hot_water.output (MW)</t>
  </si>
  <si>
    <t>ht.energy_heat_network_storage_ht_steam_hot_water.output (MW)</t>
  </si>
  <si>
    <t>ht.energy_heat_production_ht_residual_heat.output (MW)</t>
  </si>
  <si>
    <t>ht.energy_heat_solar_ht_solar_thermal.output (MW)</t>
  </si>
  <si>
    <t>ht.energy_heat_well_deep_ht_geothermal.output (MW)</t>
  </si>
  <si>
    <t>ht.agriculture_final_demand_ht_central_steam_hot_water.input (MW)</t>
  </si>
  <si>
    <t>ht.buildings_space_heater_district_heating_ht_steam_hot_water.input (MW)</t>
  </si>
  <si>
    <t>ht.energy_direct_air_capture_co2_electricity.input (MW)</t>
  </si>
  <si>
    <t>ht.energy_heat_distribution_ht_loss.input (MW)</t>
  </si>
  <si>
    <t>ht.energy_heat_network_storage_ht_steam_hot_water.input (MW)</t>
  </si>
  <si>
    <t>ht.energy_heat_unused_ht_steam_hot_water.input (MW)</t>
  </si>
  <si>
    <t>ht.households_space_heater_district_heating_ht_steam_hot_water.input (MW)</t>
  </si>
  <si>
    <t>ht.households_water_heater_district_heating_ht_steam_hot_water.input (MW)</t>
  </si>
  <si>
    <t>ht.other_final_demand_ht_steam_hot_water.input (MW)</t>
  </si>
  <si>
    <t>ht.deficit</t>
  </si>
  <si>
    <t>transport_final_demand_hydrogen.input (MW)</t>
  </si>
  <si>
    <t>industry_other_paper_burner_hydrogen.input (MW)</t>
  </si>
  <si>
    <t>industry_other_food_burner_hydrogen.input (MW)</t>
  </si>
  <si>
    <t>industry_heat_turbine_hydrogen.input (MW)</t>
  </si>
  <si>
    <t>industry_heat_burner_hydrogen.input (MW)</t>
  </si>
  <si>
    <t>industry_final_demand_for_other_non_specified_hydrogen_non_energetic.input (MW)</t>
  </si>
  <si>
    <t>industry_final_demand_for_other_non_specified_hydrogen.input (MW)</t>
  </si>
  <si>
    <t>industry_final_demand_for_metal_steel_hydrogen.input (MW)</t>
  </si>
  <si>
    <t>industry_final_demand_for_metal_other_metals_hydrogen.input (MW)</t>
  </si>
  <si>
    <t>industry_final_demand_for_metal_aluminium_hydrogen.input (MW)</t>
  </si>
  <si>
    <t>industry_final_demand_for_chemical_other_hydrogen_non_energetic.input (MW)</t>
  </si>
  <si>
    <t>industry_final_demand_for_chemical_fertilizers_hydrogen_non_energetic.input (MW)</t>
  </si>
  <si>
    <t>industry_chp_turbine_hydrogen.input (MW)</t>
  </si>
  <si>
    <t>industry_chemicals_refineries_burner_hydrogen.input (MW)</t>
  </si>
  <si>
    <t>industry_chemicals_other_burner_hydrogen.input (MW)</t>
  </si>
  <si>
    <t>industry_chemicals_fertilizers_burner_hydrogen.input (MW)</t>
  </si>
  <si>
    <t>households_water_heater_hybrid_hydrogen_heatpump_air_water_electricity.input (MW)</t>
  </si>
  <si>
    <t>households_water_heater_combined_hydrogen.input (MW)</t>
  </si>
  <si>
    <t>households_space_heater_hybrid_hydrogen_heatpump_air_water_electricity.input (MW)</t>
  </si>
  <si>
    <t>households_space_heater_combined_hydrogen.input (MW)</t>
  </si>
  <si>
    <t>energy_production_synthetic_methanol.input (MW)</t>
  </si>
  <si>
    <t>energy_production_synthetic_kerosene_must_run.input (MW)</t>
  </si>
  <si>
    <t>energy_production_synthetic_kerosene_dispatchable.input (MW)</t>
  </si>
  <si>
    <t>energy_power_turbine_hydrogen.input (MW)</t>
  </si>
  <si>
    <t>energy_power_combined_cycle_hydrogen.input (MW)</t>
  </si>
  <si>
    <t>energy_hydrogen_transport_loss.input (MW)</t>
  </si>
  <si>
    <t>energy_hydrogen_storage_salt_cavern.input (MW)</t>
  </si>
  <si>
    <t>energy_hydrogen_storage_depleted_gas_field.input (MW)</t>
  </si>
  <si>
    <t>energy_heat_burner_mt_hydrogen.input (MW)</t>
  </si>
  <si>
    <t>energy_heat_burner_lt_hydrogen.input (MW)</t>
  </si>
  <si>
    <t>energy_heat_burner_ht_hydrogen.input (MW)</t>
  </si>
  <si>
    <t>energy_export_hydrogen_baseload.input (MW)</t>
  </si>
  <si>
    <t>energy_export_hydrogen_backup.input (MW)</t>
  </si>
  <si>
    <t>bunkers_final_demand_for_shipping_hydrogen.input (MW)</t>
  </si>
  <si>
    <t>bunkers_final_demand_for_aviation_hydrogen.input (MW)</t>
  </si>
  <si>
    <t>buildings_space_heater_hybrid_hydrogen_heatpump_air_water_electricity.input (MW)</t>
  </si>
  <si>
    <t>buildings_space_heater_combined_hydrogen.input (MW)</t>
  </si>
  <si>
    <t>agriculture_burner_hydrogen.input (MW)</t>
  </si>
  <si>
    <t>energy_imported_hydrogen_baseload.output (MW)</t>
  </si>
  <si>
    <t>energy_imported_hydrogen_backup.output (MW)</t>
  </si>
  <si>
    <t>energy_hydrogen_storage_salt_cavern.output (MW)</t>
  </si>
  <si>
    <t>energy_hydrogen_storage_depleted_gas_field.output (MW)</t>
  </si>
  <si>
    <t>energy_hydrogen_steam_methane_reformer_must_run.output (MW)</t>
  </si>
  <si>
    <t>energy_hydrogen_steam_methane_reformer_dispatchable.output (MW)</t>
  </si>
  <si>
    <t>energy_hydrogen_steam_methane_reformer_ccs_must_run.output (MW)</t>
  </si>
  <si>
    <t>energy_hydrogen_lohc_reformer.output (MW)</t>
  </si>
  <si>
    <t>energy_hydrogen_liquid_hydrogen_regasifier.output (MW)</t>
  </si>
  <si>
    <t>energy_hydrogen_hybrid_electrolysis_wind_electricity.output (MW)</t>
  </si>
  <si>
    <t>energy_hydrogen_flexibility_p2g_electricity.output (MW)</t>
  </si>
  <si>
    <t>energy_hydrogen_electrolysis_wind_electricity.output (MW)</t>
  </si>
  <si>
    <t>energy_hydrogen_electrolysis_solar_electricity.output (MW)</t>
  </si>
  <si>
    <t>energy_hydrogen_biomass_gasification_ccs.output (MW)</t>
  </si>
  <si>
    <t>energy_hydrogen_biomass_gasification.output (MW)</t>
  </si>
  <si>
    <t>energy_hydrogen_autothermal_reformer_must_run.output (MW)</t>
  </si>
  <si>
    <t>energy_hydrogen_autothermal_reformer_dispatchable.output (MW)</t>
  </si>
  <si>
    <t>energy_hydrogen_autothermal_reformer_ccs_must_run.output (MW)</t>
  </si>
  <si>
    <t>energy_hydrogen_ammonia_reformer_must_run.output (MW)</t>
  </si>
  <si>
    <t>energy_hydrogen_ammonia_reformer_dispatchable.output (MW)</t>
  </si>
  <si>
    <t>agriculture_chp_engine_biogas.output (MW)</t>
  </si>
  <si>
    <t>agriculture_chp_engine_network_gas_dispatchable.output (MW)</t>
  </si>
  <si>
    <t>agriculture_chp_engine_network_gas_must_run.output (MW)</t>
  </si>
  <si>
    <t>agriculture_chp_wood_pellets.output (MW)</t>
  </si>
  <si>
    <t>agriculture_flexibility_p2h_hydrogen_electricity.output (MW)</t>
  </si>
  <si>
    <t>agriculture_flexibility_p2h_network_gas_electricity.output (MW)</t>
  </si>
  <si>
    <t>buildings_solar_pv_solar_radiation.output (MW)</t>
  </si>
  <si>
    <t>energy_battery_solar_electricity.output (MW)</t>
  </si>
  <si>
    <t>energy_battery_wind_electricity.output (MW)</t>
  </si>
  <si>
    <t>energy_chp_coal_gas.output (MW)</t>
  </si>
  <si>
    <t>energy_chp_combined_cycle_ht_network_gas.output (MW)</t>
  </si>
  <si>
    <t>energy_chp_combined_cycle_mt_network_gas.output (MW)</t>
  </si>
  <si>
    <t>energy_chp_local_engine_ht_biogas.output (MW)</t>
  </si>
  <si>
    <t>energy_chp_local_engine_ht_network_gas.output (MW)</t>
  </si>
  <si>
    <t>energy_chp_local_engine_mt_biogas.output (MW)</t>
  </si>
  <si>
    <t>energy_chp_local_engine_mt_network_gas.output (MW)</t>
  </si>
  <si>
    <t>energy_chp_local_ht_wood_pellets_ccs_dispatchable.output (MW)</t>
  </si>
  <si>
    <t>energy_chp_local_ht_wood_pellets_ccs_must_run.output (MW)</t>
  </si>
  <si>
    <t>energy_chp_local_ht_wood_pellets_dispatchable.output (MW)</t>
  </si>
  <si>
    <t>energy_chp_local_ht_wood_pellets_must_run.output (MW)</t>
  </si>
  <si>
    <t>energy_chp_local_mt_wood_pellets_ccs_dispatchable.output (MW)</t>
  </si>
  <si>
    <t>energy_chp_local_mt_wood_pellets_ccs_must_run.output (MW)</t>
  </si>
  <si>
    <t>energy_chp_local_mt_wood_pellets_dispatchable.output (MW)</t>
  </si>
  <si>
    <t>energy_chp_local_mt_wood_pellets_must_run.output (MW)</t>
  </si>
  <si>
    <t>energy_chp_supercritical_ccs_ht_waste_mix.output (MW)</t>
  </si>
  <si>
    <t>energy_chp_supercritical_ccs_mt_waste_mix.output (MW)</t>
  </si>
  <si>
    <t>energy_chp_supercritical_ht_waste_mix.output (MW)</t>
  </si>
  <si>
    <t>energy_chp_supercritical_mt_waste_mix.output (MW)</t>
  </si>
  <si>
    <t>energy_chp_ultra_supercritical_cofiring_ht_coal.output (MW)</t>
  </si>
  <si>
    <t>energy_chp_ultra_supercritical_cofiring_mt_coal.output (MW)</t>
  </si>
  <si>
    <t>energy_chp_ultra_supercritical_ht_coal.output (MW)</t>
  </si>
  <si>
    <t>energy_chp_ultra_supercritical_ht_lignite.output (MW)</t>
  </si>
  <si>
    <t>energy_chp_ultra_supercritical_mt_coal.output (MW)</t>
  </si>
  <si>
    <t>energy_chp_ultra_supercritical_mt_lignite.output (MW)</t>
  </si>
  <si>
    <t>energy_flexibility_flow_batteries_electricity.output (MW)</t>
  </si>
  <si>
    <t>energy_flexibility_hv_opac_electricity.output (MW)</t>
  </si>
  <si>
    <t>energy_flexibility_mv_batteries_electricity.output (MW)</t>
  </si>
  <si>
    <t>energy_flexibility_pumped_storage_electricity.output (MW)</t>
  </si>
  <si>
    <t>energy_heat_flexibility_p2h_boiler_ht_electricity.output (MW)</t>
  </si>
  <si>
    <t>energy_heat_flexibility_p2h_boiler_mt_electricity.output (MW)</t>
  </si>
  <si>
    <t>energy_heat_flexibility_p2h_heatpump_ht_electricity.output (MW)</t>
  </si>
  <si>
    <t>energy_heat_flexibility_p2h_heatpump_mt_electricity.output (MW)</t>
  </si>
  <si>
    <t>energy_interconnector_10_imported_electricity.output (MW)</t>
  </si>
  <si>
    <t>energy_interconnector_11_imported_electricity.output (MW)</t>
  </si>
  <si>
    <t>energy_interconnector_12_imported_electricity.output (MW)</t>
  </si>
  <si>
    <t>energy_interconnector_1_imported_electricity.output (MW)</t>
  </si>
  <si>
    <t>energy_interconnector_2_imported_electricity.output (MW)</t>
  </si>
  <si>
    <t>energy_interconnector_3_imported_electricity.output (MW)</t>
  </si>
  <si>
    <t>energy_interconnector_4_imported_electricity.output (MW)</t>
  </si>
  <si>
    <t>energy_interconnector_5_imported_electricity.output (MW)</t>
  </si>
  <si>
    <t>energy_interconnector_6_imported_electricity.output (MW)</t>
  </si>
  <si>
    <t>energy_interconnector_7_imported_electricity.output (MW)</t>
  </si>
  <si>
    <t>energy_interconnector_8_imported_electricity.output (MW)</t>
  </si>
  <si>
    <t>energy_interconnector_9_imported_electricity.output (MW)</t>
  </si>
  <si>
    <t>energy_power_combined_cycle_ccs_coal.output (MW)</t>
  </si>
  <si>
    <t>energy_power_combined_cycle_ccs_network_gas.output (MW)</t>
  </si>
  <si>
    <t>energy_power_combined_cycle_coal.output (MW)</t>
  </si>
  <si>
    <t>energy_power_combined_cycle_coal_gas.output (MW)</t>
  </si>
  <si>
    <t>energy_power_combined_cycle_hydrogen.output (MW)</t>
  </si>
  <si>
    <t>energy_power_combined_cycle_network_gas.output (MW)</t>
  </si>
  <si>
    <t>energy_power_engine_diesel.output (MW)</t>
  </si>
  <si>
    <t>energy_power_engine_network_gas.output (MW)</t>
  </si>
  <si>
    <t>energy_power_geothermal.output (MW)</t>
  </si>
  <si>
    <t>energy_power_hybrid_wind_turbine_offshore.output (MW)</t>
  </si>
  <si>
    <t>energy_power_hydro_mountain.output (MW)</t>
  </si>
  <si>
    <t>energy_power_hydro_river.output (MW)</t>
  </si>
  <si>
    <t>energy_power_nuclear_gen2_uranium_oxide.output (MW)</t>
  </si>
  <si>
    <t>energy_power_nuclear_gen3_uranium_oxide.output (MW)</t>
  </si>
  <si>
    <t>energy_power_nuclear_small_modular_reactor_uranium_oxide.output (MW)</t>
  </si>
  <si>
    <t>energy_power_solar_csp_solar_radiation.output (MW)</t>
  </si>
  <si>
    <t>energy_power_solar_pv_offshore.output (MW)</t>
  </si>
  <si>
    <t>energy_power_solar_pv_solar_radiation.output (MW)</t>
  </si>
  <si>
    <t>energy_power_supercritical_ccs_waste_mix.output (MW)</t>
  </si>
  <si>
    <t>energy_power_supercritical_coal.output (MW)</t>
  </si>
  <si>
    <t>energy_power_supercritical_waste_mix.output (MW)</t>
  </si>
  <si>
    <t>energy_power_turbine_hydrogen.output (MW)</t>
  </si>
  <si>
    <t>energy_power_turbine_network_gas.output (MW)</t>
  </si>
  <si>
    <t>energy_power_ultra_supercritical_ccs_coal.output (MW)</t>
  </si>
  <si>
    <t>energy_power_ultra_supercritical_coal.output (MW)</t>
  </si>
  <si>
    <t>energy_power_ultra_supercritical_cofiring_coal.output (MW)</t>
  </si>
  <si>
    <t>energy_power_ultra_supercritical_crude_oil.output (MW)</t>
  </si>
  <si>
    <t>energy_power_ultra_supercritical_lignite.output (MW)</t>
  </si>
  <si>
    <t>energy_power_ultra_supercritical_network_gas.output (MW)</t>
  </si>
  <si>
    <t>energy_power_ultra_supercritical_oxyfuel_ccs_lignite.output (MW)</t>
  </si>
  <si>
    <t>energy_power_wind_turbine_coastal.output (MW)</t>
  </si>
  <si>
    <t>energy_power_wind_turbine_inland.output (MW)</t>
  </si>
  <si>
    <t>energy_power_wind_turbine_offshore.output (MW)</t>
  </si>
  <si>
    <t>energy_power_wood_pellets_ccs_dispatchable.output (MW)</t>
  </si>
  <si>
    <t>energy_power_wood_pellets_ccs_must_run.output (MW)</t>
  </si>
  <si>
    <t>energy_power_wood_pellets_dispatchable.output (MW)</t>
  </si>
  <si>
    <t>energy_power_wood_pellets_must_run.output (MW)</t>
  </si>
  <si>
    <t>energy_production_synthetic_kerosene_dispatchable.output (MW)</t>
  </si>
  <si>
    <t>households_flexibility_p2p_electricity.output (MW)</t>
  </si>
  <si>
    <t>households_solar_pv_solar_radiation.output (MW)</t>
  </si>
  <si>
    <t>households_solar_pvt_solar_radiation.output (MW)</t>
  </si>
  <si>
    <t>industry_chemicals_fertilizers_flexibility_p2h_hydrogen_electricity.output (MW)</t>
  </si>
  <si>
    <t>industry_chemicals_fertilizers_flexibility_p2h_network_gas_electricity.output (MW)</t>
  </si>
  <si>
    <t>industry_chemicals_other_flexibility_p2h_hydrogen_electricity.output (MW)</t>
  </si>
  <si>
    <t>industry_chemicals_other_flexibility_p2h_network_gas_electricity.output (MW)</t>
  </si>
  <si>
    <t>industry_chemicals_refineries_flexibility_p2h_hydrogen_electricity.output (MW)</t>
  </si>
  <si>
    <t>industry_chemicals_refineries_flexibility_p2h_network_gas_electricity.output (MW)</t>
  </si>
  <si>
    <t>industry_chp_combined_cycle_gas_power_fuelmix.output (MW)</t>
  </si>
  <si>
    <t>industry_chp_engine_gas_power_fuelmix.output (MW)</t>
  </si>
  <si>
    <t>industry_chp_turbine_gas_power_fuelmix.output (MW)</t>
  </si>
  <si>
    <t>industry_chp_turbine_hydrogen.output (MW)</t>
  </si>
  <si>
    <t>industry_chp_ultra_supercritical_coal.output (MW)</t>
  </si>
  <si>
    <t>industry_chp_wood_pellets.output (MW)</t>
  </si>
  <si>
    <t>industry_final_demand_for_chemical_dsr_load_shifting_electricity.output (MW)</t>
  </si>
  <si>
    <t>industry_final_demand_for_metal_dsr_load_shifting_electricity.output (MW)</t>
  </si>
  <si>
    <t>industry_final_demand_for_other_dsr_load_shifting_electricity.output (MW)</t>
  </si>
  <si>
    <t>industry_final_demand_for_other_ict_dsr_load_shifting_electricity.output (MW)</t>
  </si>
  <si>
    <t>industry_other_food_flexibility_p2h_hydrogen_electricity.output (MW)</t>
  </si>
  <si>
    <t>industry_other_food_flexibility_p2h_network_gas_electricity.output (MW)</t>
  </si>
  <si>
    <t>industry_other_paper_flexibility_p2h_hydrogen_electricity.output (MW)</t>
  </si>
  <si>
    <t>industry_other_paper_flexibility_p2h_network_gas_electricity.output (MW)</t>
  </si>
  <si>
    <t>transport_bus_flexibility_p2p_electricity.output (MW)</t>
  </si>
  <si>
    <t>transport_car_flexibility_p2p_electricity.output (MW)</t>
  </si>
  <si>
    <t>transport_truck_flexibility_p2p_electricity.output (MW)</t>
  </si>
  <si>
    <t>transport_van_flexibility_p2p_electricity.output (MW)</t>
  </si>
  <si>
    <t>agriculture_flexibility_p2h_hydrogen_electricity.input (MW)</t>
  </si>
  <si>
    <t>agriculture_flexibility_p2h_network_gas_electricity.input (MW)</t>
  </si>
  <si>
    <t>agriculture_geothermal.input (MW)</t>
  </si>
  <si>
    <t>agriculture_heatpump_water_water_electricity.input (MW)</t>
  </si>
  <si>
    <t>agriculture_heatpump_water_water_ts_electricity.input (MW)</t>
  </si>
  <si>
    <t>agriculture_useful_demand_electricity.input (MW)</t>
  </si>
  <si>
    <t>buildings_appliances_electricity.input (MW)</t>
  </si>
  <si>
    <t>buildings_cooling_airconditioning_electricity.input (MW)</t>
  </si>
  <si>
    <t>buildings_cooling_collective_heatpump_water_water_ts_electricity.input (MW)</t>
  </si>
  <si>
    <t>buildings_cooling_heatpump_air_water_electricity.input (MW)</t>
  </si>
  <si>
    <t>buildings_cooling_heatpump_surface_water_water_ts_electricity.input (MW)</t>
  </si>
  <si>
    <t>buildings_lighting_efficient_fluorescent_electricity.input (MW)</t>
  </si>
  <si>
    <t>buildings_lighting_led_electricity.input (MW)</t>
  </si>
  <si>
    <t>buildings_lighting_standard_fluorescent_electricity.input (MW)</t>
  </si>
  <si>
    <t>buildings_space_heater_collective_heatpump_water_water_ts_electricity.input (MW)</t>
  </si>
  <si>
    <t>buildings_space_heater_electricity.input (MW)</t>
  </si>
  <si>
    <t>buildings_space_heater_heatpump_air_water_electricity.input (MW)</t>
  </si>
  <si>
    <t>buildings_space_heater_heatpump_surface_water_water_ts_electricity.input (MW)</t>
  </si>
  <si>
    <t>buildings_space_heater_hybrid_crude_oil_heatpump_air_water_electricity.input (MW)</t>
  </si>
  <si>
    <t>bunkers_final_demand_for_aviation_electricity.input (MW)</t>
  </si>
  <si>
    <t>bunkers_final_demand_for_shipping_electricity.input (MW)</t>
  </si>
  <si>
    <t>energy_direct_air_capture_co2_electricity.input (MW)</t>
  </si>
  <si>
    <t>energy_flexibility_curtailment_electricity.input (MW)</t>
  </si>
  <si>
    <t>energy_flexibility_flow_batteries_electricity.input (MW)</t>
  </si>
  <si>
    <t>energy_flexibility_hv_opac_electricity.input (MW)</t>
  </si>
  <si>
    <t>energy_flexibility_mv_batteries_electricity.input (MW)</t>
  </si>
  <si>
    <t>energy_flexibility_pumped_storage_electricity.input (MW)</t>
  </si>
  <si>
    <t>energy_heat_boiler_ht_electricity.input (MW)</t>
  </si>
  <si>
    <t>energy_heat_boiler_lt_electricity.input (MW)</t>
  </si>
  <si>
    <t>energy_heat_boiler_mt_electricity.input (MW)</t>
  </si>
  <si>
    <t>energy_heat_flexibility_p2h_boiler_ht_electricity.input (MW)</t>
  </si>
  <si>
    <t>energy_heat_flexibility_p2h_boiler_mt_electricity.input (MW)</t>
  </si>
  <si>
    <t>energy_heat_flexibility_p2h_heatpump_ht_electricity.input (MW)</t>
  </si>
  <si>
    <t>energy_heat_flexibility_p2h_heatpump_mt_electricity.input (MW)</t>
  </si>
  <si>
    <t>energy_heat_heatpump_drink_water_water_ts_lt_electricity.input (MW)</t>
  </si>
  <si>
    <t>energy_heat_heatpump_drink_water_water_ts_mt_electricity.input (MW)</t>
  </si>
  <si>
    <t>energy_heat_heatpump_surface_water_water_ts_lt_electricity.input (MW)</t>
  </si>
  <si>
    <t>energy_heat_heatpump_surface_water_water_ts_mt_electricity.input (MW)</t>
  </si>
  <si>
    <t>energy_heat_heatpump_waste_water_water_ts_lt_electricity.input (MW)</t>
  </si>
  <si>
    <t>energy_heat_heatpump_waste_water_water_ts_mt_electricity.input (MW)</t>
  </si>
  <si>
    <t>energy_heat_heatpump_water_water_ht_electricity.input (MW)</t>
  </si>
  <si>
    <t>energy_heat_heatpump_water_water_lt_electricity.input (MW)</t>
  </si>
  <si>
    <t>energy_heat_heatpump_water_water_mt_electricity.input (MW)</t>
  </si>
  <si>
    <t>energy_heat_well_deep_ht_geothermal.input (MW)</t>
  </si>
  <si>
    <t>energy_heat_well_deep_mt_geothermal.input (MW)</t>
  </si>
  <si>
    <t>energy_heat_well_shallow_heatpump_mt_geothermal.input (MW)</t>
  </si>
  <si>
    <t>energy_heat_well_shallow_lt_geothermal.input (MW)</t>
  </si>
  <si>
    <t>energy_hydrogen_flexibility_p2g_electricity.input (MW)</t>
  </si>
  <si>
    <t>energy_hydrogen_hybrid_electrolysis_wind_electricity.input (MW)</t>
  </si>
  <si>
    <t>energy_interconnector_10_exported_electricity.input (MW)</t>
  </si>
  <si>
    <t>energy_interconnector_11_exported_electricity.input (MW)</t>
  </si>
  <si>
    <t>energy_interconnector_12_exported_electricity.input (MW)</t>
  </si>
  <si>
    <t>energy_interconnector_1_exported_electricity.input (MW)</t>
  </si>
  <si>
    <t>energy_interconnector_2_exported_electricity.input (MW)</t>
  </si>
  <si>
    <t>energy_interconnector_3_exported_electricity.input (MW)</t>
  </si>
  <si>
    <t>energy_interconnector_4_exported_electricity.input (MW)</t>
  </si>
  <si>
    <t>energy_interconnector_5_exported_electricity.input (MW)</t>
  </si>
  <si>
    <t>energy_interconnector_6_exported_electricity.input (MW)</t>
  </si>
  <si>
    <t>energy_interconnector_7_exported_electricity.input (MW)</t>
  </si>
  <si>
    <t>energy_interconnector_8_exported_electricity.input (MW)</t>
  </si>
  <si>
    <t>energy_interconnector_9_exported_electricity.input (MW)</t>
  </si>
  <si>
    <t>energy_offshore_sequestration_co2_electricity.input (MW)</t>
  </si>
  <si>
    <t>energy_power_hv_network_loss.input (MW)</t>
  </si>
  <si>
    <t>energy_power_hybrid_curtailed_electricity.input (MW)</t>
  </si>
  <si>
    <t>energy_power_sector_own_use_electricity.input (MW)</t>
  </si>
  <si>
    <t>households_cooker_halogen_electricity.input (MW)</t>
  </si>
  <si>
    <t>households_cooker_induction_electricity.input (MW)</t>
  </si>
  <si>
    <t>households_cooker_resistive_electricity.input (MW)</t>
  </si>
  <si>
    <t>households_cooling_airconditioning_electricity.input (MW)</t>
  </si>
  <si>
    <t>households_cooling_heatpump_air_water_electricity.input (MW)</t>
  </si>
  <si>
    <t>households_cooling_heatpump_ground_water_electricity.input (MW)</t>
  </si>
  <si>
    <t>households_cooling_heatpump_surface_water_water_ts_electricity.input (MW)</t>
  </si>
  <si>
    <t>households_final_demand_for_appliances_electricity.input (MW)</t>
  </si>
  <si>
    <t>households_flexibility_p2p_electricity.input (MW)</t>
  </si>
  <si>
    <t>households_lighting_efficient_fluorescent_electricity.input (MW)</t>
  </si>
  <si>
    <t>households_lighting_incandescent_electricity.input (MW)</t>
  </si>
  <si>
    <t>households_lighting_led_electricity.input (MW)</t>
  </si>
  <si>
    <t>households_space_heater_electricity.input (MW)</t>
  </si>
  <si>
    <t>households_space_heater_heatpump_air_water_electricity.input (MW)</t>
  </si>
  <si>
    <t>households_space_heater_heatpump_ground_water_electricity.input (MW)</t>
  </si>
  <si>
    <t>households_space_heater_heatpump_pvt_electricity.input (MW)</t>
  </si>
  <si>
    <t>households_space_heater_heatpump_surface_water_water_ts_electricity.input (MW)</t>
  </si>
  <si>
    <t>households_space_heater_hybrid_crude_oil_heatpump_air_water_electricity.input (MW)</t>
  </si>
  <si>
    <t>households_water_heater_heatpump_air_water_electricity.input (MW)</t>
  </si>
  <si>
    <t>households_water_heater_heatpump_ground_water_electricity.input (MW)</t>
  </si>
  <si>
    <t>households_water_heater_heatpump_pvt_electricity.input (MW)</t>
  </si>
  <si>
    <t>households_water_heater_heatpump_surface_water_water_ts_electricity.input (MW)</t>
  </si>
  <si>
    <t>households_water_heater_hybrid_crude_oil_heatpump_air_water_electricity.input (MW)</t>
  </si>
  <si>
    <t>households_water_heater_resistive_electricity.input (MW)</t>
  </si>
  <si>
    <t>industry_chemical_other_captured_co2_electricity.input (MW)</t>
  </si>
  <si>
    <t>industry_chemicals_fertilizers_captured_combustion_co2_electricity.input (MW)</t>
  </si>
  <si>
    <t>industry_chemicals_fertilizers_captured_processes_co2_electricity.input (MW)</t>
  </si>
  <si>
    <t>industry_chemicals_fertilizers_flexibility_p2h_hydrogen_electricity.input (MW)</t>
  </si>
  <si>
    <t>industry_chemicals_fertilizers_flexibility_p2h_network_gas_electricity.input (MW)</t>
  </si>
  <si>
    <t>industry_chemicals_other_flexibility_p2h_hydrogen_electricity.input (MW)</t>
  </si>
  <si>
    <t>industry_chemicals_other_flexibility_p2h_network_gas_electricity.input (MW)</t>
  </si>
  <si>
    <t>industry_chemicals_other_heater_electricity.input (MW)</t>
  </si>
  <si>
    <t>industry_chemicals_other_heatpump_water_water_electricity.input (MW)</t>
  </si>
  <si>
    <t>industry_chemicals_other_steam_recompression_electricity.input (MW)</t>
  </si>
  <si>
    <t>industry_chemicals_refineries_captured_co2_electricity.input (MW)</t>
  </si>
  <si>
    <t>industry_chemicals_refineries_flexibility_p2h_hydrogen_electricity.input (MW)</t>
  </si>
  <si>
    <t>industry_chemicals_refineries_flexibility_p2h_network_gas_electricity.input (MW)</t>
  </si>
  <si>
    <t>industry_final_demand_for_chemical_dsr_load_shifting_electricity.input (MW)</t>
  </si>
  <si>
    <t>industry_final_demand_for_metal_aluminium_electricity.input (MW)</t>
  </si>
  <si>
    <t>industry_final_demand_for_metal_dsr_load_shifting_electricity.input (MW)</t>
  </si>
  <si>
    <t>industry_final_demand_for_metal_other_metals_electricity.input (MW)</t>
  </si>
  <si>
    <t>industry_final_demand_for_other_dsr_load_shifting_electricity.input (MW)</t>
  </si>
  <si>
    <t>industry_final_demand_for_other_ict_dsr_load_shifting_electricity.input (MW)</t>
  </si>
  <si>
    <t>industry_final_demand_for_other_ict_electricity.input (MW)</t>
  </si>
  <si>
    <t>industry_final_demand_for_other_non_specified_electricity.input (MW)</t>
  </si>
  <si>
    <t>industry_heat_well_geothermal.input (MW)</t>
  </si>
  <si>
    <t>industry_other_food_captured_co2_electricity.input (MW)</t>
  </si>
  <si>
    <t>industry_other_food_flexibility_p2h_hydrogen_electricity.input (MW)</t>
  </si>
  <si>
    <t>industry_other_food_flexibility_p2h_network_gas_electricity.input (MW)</t>
  </si>
  <si>
    <t>industry_other_food_heater_electricity.input (MW)</t>
  </si>
  <si>
    <t>industry_other_paper_captured_co2_electricity.input (MW)</t>
  </si>
  <si>
    <t>industry_other_paper_flexibility_p2h_hydrogen_electricity.input (MW)</t>
  </si>
  <si>
    <t>industry_other_paper_flexibility_p2h_network_gas_electricity.input (MW)</t>
  </si>
  <si>
    <t>industry_other_paper_heater_electricity.input (MW)</t>
  </si>
  <si>
    <t>industry_steel_blastfurnace_bof.input (MW)</t>
  </si>
  <si>
    <t>industry_steel_blastfurnace_bof_captured_co2_electricity.input (MW)</t>
  </si>
  <si>
    <t>industry_steel_cyclonefurnace_bof.input (MW)</t>
  </si>
  <si>
    <t>industry_steel_cyclonefurnace_bof_captured_co2_electricity.input (MW)</t>
  </si>
  <si>
    <t>industry_steel_dri_hydrogen.input (MW)</t>
  </si>
  <si>
    <t>industry_steel_dri_network_gas.input (MW)</t>
  </si>
  <si>
    <t>industry_steel_dri_network_gas_captured_co2_electricity.input (MW)</t>
  </si>
  <si>
    <t>industry_steel_external_coupling_node.input (MW)</t>
  </si>
  <si>
    <t>industry_steel_external_coupling_node_captured_co2_electricity.input (MW)</t>
  </si>
  <si>
    <t>industry_steel_scrap_hbi_eaf.input (MW)</t>
  </si>
  <si>
    <t>industry_useful_demand_for_chemical_fertilizers_electricity.input (MW)</t>
  </si>
  <si>
    <t>industry_useful_demand_for_chemical_other_electricity.input (MW)</t>
  </si>
  <si>
    <t>industry_useful_demand_for_chemical_refineries_electricity.input (MW)</t>
  </si>
  <si>
    <t>industry_useful_demand_for_other_food_electricity.input (MW)</t>
  </si>
  <si>
    <t>industry_useful_demand_for_other_paper_electricity.input (MW)</t>
  </si>
  <si>
    <t>other_final_demand_electricity.input (MW)</t>
  </si>
  <si>
    <t>transport_bicycle_using_electricity.input (MW)</t>
  </si>
  <si>
    <t>transport_bus_flexibility_p2p_electricity.input (MW)</t>
  </si>
  <si>
    <t>transport_bus_using_electricity.input (MW)</t>
  </si>
  <si>
    <t>transport_car_flexibility_p2p_electricity.input (MW)</t>
  </si>
  <si>
    <t>transport_car_using_electricity.input (MW)</t>
  </si>
  <si>
    <t>transport_freight_train_using_electricity.input (MW)</t>
  </si>
  <si>
    <t>transport_motorcycle_using_electricity.input (MW)</t>
  </si>
  <si>
    <t>transport_passenger_train_using_electricity.input (MW)</t>
  </si>
  <si>
    <t>transport_plane_using_electricity.input (MW)</t>
  </si>
  <si>
    <t>transport_ship_using_electricity.input (MW)</t>
  </si>
  <si>
    <t>transport_tram_using_electricity.input (MW)</t>
  </si>
  <si>
    <t>transport_truck_flexibility_p2p_electricity.input (MW)</t>
  </si>
  <si>
    <t>transport_truck_using_electricity.input (MW)</t>
  </si>
  <si>
    <t>transport_van_flexibility_p2p_electricity.input (MW)</t>
  </si>
  <si>
    <t>transport_van_using_electricity.input (MW)</t>
  </si>
  <si>
    <t>deficit</t>
  </si>
  <si>
    <t>TWh</t>
  </si>
  <si>
    <t>TWh (report)</t>
  </si>
  <si>
    <t>Report</t>
  </si>
  <si>
    <t>Transport = excl. Flexibility</t>
  </si>
  <si>
    <t>Industry = Excl load shifting</t>
  </si>
  <si>
    <t>HOUSEHOLDS is excl. P2p flex</t>
  </si>
  <si>
    <t>ENERGY is only own use and sequestration</t>
  </si>
  <si>
    <t>All excl shipping</t>
  </si>
  <si>
    <t>ALL</t>
  </si>
  <si>
    <t>PJ (Report)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</si>
</sst>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2" fontId="0" fillId="0" borderId="0" xfId="0" applyNumberFormat="1"/>
    <xf numFmtId="0" fontId="0" fillId="4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6" borderId="0" xfId="0" applyFill="1"/>
  </cellXfs>
  <cellStyles count="1">
    <cellStyle name="Normal" xfId="0" builtinId="0"/>
  </cellStyles>
  <dxfs count="15"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3468-7BD5-4132-A3C2-391D03E922A1}">
  <dimension ref="A1:C262"/>
  <sheetViews>
    <sheetView workbookViewId="0">
      <selection activeCell="B79" sqref="B79"/>
    </sheetView>
  </sheetViews>
  <sheetFormatPr defaultColWidth="34.81640625" defaultRowHeight="14.5" x14ac:dyDescent="0.35"/>
  <cols>
    <col min="1" max="1" width="72.7265625" bestFit="1" customWidth="1"/>
    <col min="2" max="2" width="13.453125" style="11" customWidth="1"/>
  </cols>
  <sheetData>
    <row r="1" spans="1:2" x14ac:dyDescent="0.35">
      <c r="A1" t="s">
        <v>0</v>
      </c>
      <c r="B1" s="11">
        <v>0</v>
      </c>
    </row>
    <row r="2" spans="1:2" x14ac:dyDescent="0.35">
      <c r="A2" t="s">
        <v>1</v>
      </c>
      <c r="B2" s="11">
        <v>0</v>
      </c>
    </row>
    <row r="3" spans="1:2" x14ac:dyDescent="0.35">
      <c r="A3" t="s">
        <v>2</v>
      </c>
      <c r="B3" s="11">
        <v>0</v>
      </c>
    </row>
    <row r="4" spans="1:2" x14ac:dyDescent="0.35">
      <c r="A4" t="s">
        <v>3</v>
      </c>
      <c r="B4" s="11">
        <v>0</v>
      </c>
    </row>
    <row r="5" spans="1:2" x14ac:dyDescent="0.35">
      <c r="A5" t="s">
        <v>4</v>
      </c>
      <c r="B5" s="11">
        <v>0</v>
      </c>
    </row>
    <row r="6" spans="1:2" x14ac:dyDescent="0.35">
      <c r="A6" t="s">
        <v>5</v>
      </c>
      <c r="B6" s="11">
        <v>0</v>
      </c>
    </row>
    <row r="7" spans="1:2" x14ac:dyDescent="0.35">
      <c r="A7" t="s">
        <v>6</v>
      </c>
      <c r="B7" s="11">
        <v>0</v>
      </c>
    </row>
    <row r="8" spans="1:2" x14ac:dyDescent="0.35">
      <c r="A8" t="s">
        <v>7</v>
      </c>
      <c r="B8" s="11">
        <v>0</v>
      </c>
    </row>
    <row r="9" spans="1:2" x14ac:dyDescent="0.35">
      <c r="A9" t="s">
        <v>8</v>
      </c>
      <c r="B9" s="11">
        <v>0</v>
      </c>
    </row>
    <row r="10" spans="1:2" x14ac:dyDescent="0.35">
      <c r="A10" t="s">
        <v>9</v>
      </c>
      <c r="B10" s="11">
        <v>0</v>
      </c>
    </row>
    <row r="11" spans="1:2" x14ac:dyDescent="0.35">
      <c r="A11" t="s">
        <v>10</v>
      </c>
      <c r="B11" s="11">
        <v>0</v>
      </c>
    </row>
    <row r="12" spans="1:2" x14ac:dyDescent="0.35">
      <c r="A12" t="s">
        <v>11</v>
      </c>
      <c r="B12" s="11">
        <v>0</v>
      </c>
    </row>
    <row r="13" spans="1:2" x14ac:dyDescent="0.35">
      <c r="A13" t="s">
        <v>12</v>
      </c>
      <c r="B13" s="11">
        <v>1</v>
      </c>
    </row>
    <row r="14" spans="1:2" x14ac:dyDescent="0.35">
      <c r="A14" t="s">
        <v>13</v>
      </c>
      <c r="B14" s="11">
        <v>1</v>
      </c>
    </row>
    <row r="15" spans="1:2" x14ac:dyDescent="0.35">
      <c r="A15" t="s">
        <v>14</v>
      </c>
      <c r="B15" s="11">
        <v>1</v>
      </c>
    </row>
    <row r="16" spans="1:2" x14ac:dyDescent="0.35">
      <c r="A16" t="s">
        <v>15</v>
      </c>
      <c r="B16" s="11">
        <v>1</v>
      </c>
    </row>
    <row r="17" spans="1:2" x14ac:dyDescent="0.35">
      <c r="A17" t="s">
        <v>16</v>
      </c>
      <c r="B17" s="11">
        <v>1</v>
      </c>
    </row>
    <row r="18" spans="1:2" x14ac:dyDescent="0.35">
      <c r="A18" t="s">
        <v>17</v>
      </c>
      <c r="B18" s="11">
        <v>1</v>
      </c>
    </row>
    <row r="19" spans="1:2" x14ac:dyDescent="0.35">
      <c r="A19" t="s">
        <v>18</v>
      </c>
      <c r="B19" s="11">
        <v>1</v>
      </c>
    </row>
    <row r="20" spans="1:2" x14ac:dyDescent="0.35">
      <c r="A20" t="s">
        <v>19</v>
      </c>
      <c r="B20" s="11">
        <v>1</v>
      </c>
    </row>
    <row r="21" spans="1:2" x14ac:dyDescent="0.35">
      <c r="A21" t="s">
        <v>20</v>
      </c>
      <c r="B21" s="11">
        <v>1</v>
      </c>
    </row>
    <row r="22" spans="1:2" x14ac:dyDescent="0.35">
      <c r="A22" t="s">
        <v>21</v>
      </c>
      <c r="B22" s="11">
        <v>0</v>
      </c>
    </row>
    <row r="23" spans="1:2" x14ac:dyDescent="0.35">
      <c r="A23" t="s">
        <v>22</v>
      </c>
      <c r="B23" s="11">
        <v>0</v>
      </c>
    </row>
    <row r="24" spans="1:2" x14ac:dyDescent="0.35">
      <c r="A24" t="s">
        <v>23</v>
      </c>
      <c r="B24" s="11">
        <v>0</v>
      </c>
    </row>
    <row r="25" spans="1:2" x14ac:dyDescent="0.35">
      <c r="A25" t="s">
        <v>24</v>
      </c>
      <c r="B25" s="11">
        <v>0</v>
      </c>
    </row>
    <row r="26" spans="1:2" x14ac:dyDescent="0.35">
      <c r="A26" t="s">
        <v>25</v>
      </c>
      <c r="B26" s="11">
        <v>0</v>
      </c>
    </row>
    <row r="27" spans="1:2" x14ac:dyDescent="0.35">
      <c r="A27" t="s">
        <v>26</v>
      </c>
      <c r="B27" s="11">
        <v>0</v>
      </c>
    </row>
    <row r="28" spans="1:2" x14ac:dyDescent="0.35">
      <c r="A28" t="s">
        <v>27</v>
      </c>
      <c r="B28" s="11">
        <v>0</v>
      </c>
    </row>
    <row r="29" spans="1:2" x14ac:dyDescent="0.35">
      <c r="A29" t="s">
        <v>28</v>
      </c>
      <c r="B29" s="12">
        <v>1</v>
      </c>
    </row>
    <row r="30" spans="1:2" x14ac:dyDescent="0.35">
      <c r="A30" t="s">
        <v>29</v>
      </c>
      <c r="B30" s="12">
        <v>1</v>
      </c>
    </row>
    <row r="31" spans="1:2" x14ac:dyDescent="0.35">
      <c r="A31" t="s">
        <v>30</v>
      </c>
      <c r="B31" s="11">
        <v>0</v>
      </c>
    </row>
    <row r="32" spans="1:2" x14ac:dyDescent="0.35">
      <c r="A32" t="s">
        <v>31</v>
      </c>
      <c r="B32" s="11">
        <v>0</v>
      </c>
    </row>
    <row r="33" spans="1:2" x14ac:dyDescent="0.35">
      <c r="A33" t="s">
        <v>32</v>
      </c>
      <c r="B33" s="11">
        <v>0</v>
      </c>
    </row>
    <row r="34" spans="1:2" x14ac:dyDescent="0.35">
      <c r="A34" t="s">
        <v>33</v>
      </c>
      <c r="B34" s="11">
        <v>0</v>
      </c>
    </row>
    <row r="35" spans="1:2" x14ac:dyDescent="0.35">
      <c r="A35" t="s">
        <v>34</v>
      </c>
      <c r="B35" s="11">
        <v>0</v>
      </c>
    </row>
    <row r="36" spans="1:2" x14ac:dyDescent="0.35">
      <c r="A36" t="s">
        <v>35</v>
      </c>
      <c r="B36" s="11">
        <v>0</v>
      </c>
    </row>
    <row r="37" spans="1:2" x14ac:dyDescent="0.35">
      <c r="A37" t="s">
        <v>36</v>
      </c>
      <c r="B37" s="11">
        <v>0</v>
      </c>
    </row>
    <row r="38" spans="1:2" x14ac:dyDescent="0.35">
      <c r="A38" t="s">
        <v>37</v>
      </c>
      <c r="B38" s="11">
        <v>0</v>
      </c>
    </row>
    <row r="39" spans="1:2" x14ac:dyDescent="0.35">
      <c r="A39" t="s">
        <v>38</v>
      </c>
      <c r="B39" s="11">
        <v>0</v>
      </c>
    </row>
    <row r="40" spans="1:2" x14ac:dyDescent="0.35">
      <c r="A40" t="s">
        <v>39</v>
      </c>
      <c r="B40" s="11">
        <v>0</v>
      </c>
    </row>
    <row r="41" spans="1:2" x14ac:dyDescent="0.35">
      <c r="A41" t="s">
        <v>40</v>
      </c>
      <c r="B41" s="11">
        <v>0</v>
      </c>
    </row>
    <row r="42" spans="1:2" x14ac:dyDescent="0.35">
      <c r="A42" t="s">
        <v>41</v>
      </c>
      <c r="B42" s="11">
        <v>0</v>
      </c>
    </row>
    <row r="43" spans="1:2" x14ac:dyDescent="0.35">
      <c r="A43" t="s">
        <v>42</v>
      </c>
      <c r="B43" s="11">
        <v>0</v>
      </c>
    </row>
    <row r="44" spans="1:2" x14ac:dyDescent="0.35">
      <c r="A44" t="s">
        <v>43</v>
      </c>
      <c r="B44" s="11">
        <v>0</v>
      </c>
    </row>
    <row r="45" spans="1:2" x14ac:dyDescent="0.35">
      <c r="A45" t="s">
        <v>44</v>
      </c>
      <c r="B45" s="11">
        <v>0</v>
      </c>
    </row>
    <row r="46" spans="1:2" x14ac:dyDescent="0.35">
      <c r="A46" t="s">
        <v>45</v>
      </c>
      <c r="B46" s="11">
        <v>0</v>
      </c>
    </row>
    <row r="47" spans="1:2" x14ac:dyDescent="0.35">
      <c r="A47" t="s">
        <v>46</v>
      </c>
      <c r="B47" s="11">
        <v>0</v>
      </c>
    </row>
    <row r="48" spans="1:2" x14ac:dyDescent="0.35">
      <c r="A48" t="s">
        <v>47</v>
      </c>
      <c r="B48" s="11">
        <v>0</v>
      </c>
    </row>
    <row r="49" spans="1:2" x14ac:dyDescent="0.35">
      <c r="A49" t="s">
        <v>48</v>
      </c>
      <c r="B49" s="11">
        <v>0</v>
      </c>
    </row>
    <row r="50" spans="1:2" x14ac:dyDescent="0.35">
      <c r="A50" t="s">
        <v>49</v>
      </c>
      <c r="B50" s="11">
        <v>0</v>
      </c>
    </row>
    <row r="51" spans="1:2" x14ac:dyDescent="0.35">
      <c r="A51" t="s">
        <v>50</v>
      </c>
      <c r="B51" s="11">
        <v>0</v>
      </c>
    </row>
    <row r="52" spans="1:2" x14ac:dyDescent="0.35">
      <c r="A52" t="s">
        <v>51</v>
      </c>
      <c r="B52" s="11">
        <v>0</v>
      </c>
    </row>
    <row r="53" spans="1:2" x14ac:dyDescent="0.35">
      <c r="A53" t="s">
        <v>52</v>
      </c>
      <c r="B53" s="11">
        <v>0</v>
      </c>
    </row>
    <row r="54" spans="1:2" x14ac:dyDescent="0.35">
      <c r="A54" t="s">
        <v>53</v>
      </c>
      <c r="B54" s="11">
        <v>0</v>
      </c>
    </row>
    <row r="55" spans="1:2" x14ac:dyDescent="0.35">
      <c r="A55" t="s">
        <v>54</v>
      </c>
      <c r="B55" s="12">
        <v>1</v>
      </c>
    </row>
    <row r="56" spans="1:2" x14ac:dyDescent="0.35">
      <c r="A56" t="s">
        <v>55</v>
      </c>
      <c r="B56" s="11">
        <v>1</v>
      </c>
    </row>
    <row r="57" spans="1:2" x14ac:dyDescent="0.35">
      <c r="A57" t="s">
        <v>56</v>
      </c>
      <c r="B57" s="11">
        <v>1</v>
      </c>
    </row>
    <row r="58" spans="1:2" x14ac:dyDescent="0.35">
      <c r="A58" t="s">
        <v>57</v>
      </c>
      <c r="B58" s="11">
        <v>1</v>
      </c>
    </row>
    <row r="59" spans="1:2" x14ac:dyDescent="0.35">
      <c r="A59" t="s">
        <v>58</v>
      </c>
      <c r="B59" s="11">
        <v>1</v>
      </c>
    </row>
    <row r="60" spans="1:2" x14ac:dyDescent="0.35">
      <c r="A60" t="s">
        <v>59</v>
      </c>
      <c r="B60" s="11">
        <v>1</v>
      </c>
    </row>
    <row r="61" spans="1:2" x14ac:dyDescent="0.35">
      <c r="A61" t="s">
        <v>60</v>
      </c>
      <c r="B61" s="11">
        <v>1</v>
      </c>
    </row>
    <row r="62" spans="1:2" x14ac:dyDescent="0.35">
      <c r="A62" t="s">
        <v>61</v>
      </c>
      <c r="B62" s="11">
        <v>1</v>
      </c>
    </row>
    <row r="63" spans="1:2" x14ac:dyDescent="0.35">
      <c r="A63" t="s">
        <v>62</v>
      </c>
      <c r="B63" s="11">
        <v>1</v>
      </c>
    </row>
    <row r="64" spans="1:2" x14ac:dyDescent="0.35">
      <c r="A64" t="s">
        <v>63</v>
      </c>
      <c r="B64" s="11">
        <v>1</v>
      </c>
    </row>
    <row r="65" spans="1:3" x14ac:dyDescent="0.35">
      <c r="A65" t="s">
        <v>64</v>
      </c>
      <c r="B65" s="11">
        <v>1</v>
      </c>
      <c r="C65" s="5"/>
    </row>
    <row r="66" spans="1:3" x14ac:dyDescent="0.35">
      <c r="A66" t="s">
        <v>65</v>
      </c>
      <c r="B66" s="12">
        <v>0</v>
      </c>
      <c r="C66" s="5"/>
    </row>
    <row r="67" spans="1:3" x14ac:dyDescent="0.35">
      <c r="A67" t="s">
        <v>66</v>
      </c>
      <c r="B67" s="12">
        <v>0</v>
      </c>
    </row>
    <row r="68" spans="1:3" x14ac:dyDescent="0.35">
      <c r="A68" t="s">
        <v>67</v>
      </c>
      <c r="B68" s="12">
        <v>0</v>
      </c>
    </row>
    <row r="69" spans="1:3" x14ac:dyDescent="0.35">
      <c r="A69" t="s">
        <v>68</v>
      </c>
      <c r="B69" s="11">
        <v>1</v>
      </c>
    </row>
    <row r="70" spans="1:3" x14ac:dyDescent="0.35">
      <c r="A70" t="s">
        <v>69</v>
      </c>
      <c r="B70" s="11">
        <v>1</v>
      </c>
    </row>
    <row r="71" spans="1:3" x14ac:dyDescent="0.35">
      <c r="A71" t="s">
        <v>70</v>
      </c>
      <c r="B71" s="11">
        <v>1</v>
      </c>
    </row>
    <row r="72" spans="1:3" x14ac:dyDescent="0.35">
      <c r="A72" t="s">
        <v>71</v>
      </c>
      <c r="B72" s="11">
        <v>1</v>
      </c>
    </row>
    <row r="73" spans="1:3" x14ac:dyDescent="0.35">
      <c r="A73" t="s">
        <v>72</v>
      </c>
      <c r="B73" s="11">
        <v>1</v>
      </c>
    </row>
    <row r="74" spans="1:3" x14ac:dyDescent="0.35">
      <c r="A74" t="s">
        <v>73</v>
      </c>
      <c r="B74" s="11">
        <v>1</v>
      </c>
    </row>
    <row r="75" spans="1:3" x14ac:dyDescent="0.35">
      <c r="A75" t="s">
        <v>74</v>
      </c>
      <c r="B75" s="11">
        <v>1</v>
      </c>
    </row>
    <row r="76" spans="1:3" x14ac:dyDescent="0.35">
      <c r="A76" t="s">
        <v>75</v>
      </c>
      <c r="B76" s="11">
        <v>1</v>
      </c>
    </row>
    <row r="77" spans="1:3" x14ac:dyDescent="0.35">
      <c r="A77" t="s">
        <v>76</v>
      </c>
      <c r="B77" s="11">
        <v>1</v>
      </c>
    </row>
    <row r="78" spans="1:3" x14ac:dyDescent="0.35">
      <c r="A78" t="s">
        <v>77</v>
      </c>
      <c r="B78" s="12">
        <v>0</v>
      </c>
    </row>
    <row r="79" spans="1:3" x14ac:dyDescent="0.35">
      <c r="A79" t="s">
        <v>78</v>
      </c>
      <c r="B79" s="12">
        <v>0</v>
      </c>
    </row>
    <row r="80" spans="1:3" x14ac:dyDescent="0.35">
      <c r="A80" t="s">
        <v>79</v>
      </c>
      <c r="B80" s="12">
        <v>0</v>
      </c>
    </row>
    <row r="81" spans="1:2" x14ac:dyDescent="0.35">
      <c r="A81" t="s">
        <v>80</v>
      </c>
      <c r="B81" s="11">
        <v>1</v>
      </c>
    </row>
    <row r="82" spans="1:2" x14ac:dyDescent="0.35">
      <c r="A82" t="s">
        <v>81</v>
      </c>
      <c r="B82" s="11">
        <v>1</v>
      </c>
    </row>
    <row r="83" spans="1:2" x14ac:dyDescent="0.35">
      <c r="A83" t="s">
        <v>82</v>
      </c>
      <c r="B83" s="11">
        <v>1</v>
      </c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261" spans="1:1" x14ac:dyDescent="0.35">
      <c r="A261" s="2"/>
    </row>
    <row r="262" spans="1:1" x14ac:dyDescent="0.35">
      <c r="A262" s="2"/>
    </row>
  </sheetData>
  <conditionalFormatting sqref="A1:A1048576">
    <cfRule type="containsText" dxfId="14" priority="1" operator="containsText" text="external">
      <formula>NOT(ISERROR(SEARCH("external",A1)))</formula>
    </cfRule>
    <cfRule type="containsText" dxfId="13" priority="2" operator="containsText" text="energy">
      <formula>NOT(ISERROR(SEARCH("energy",A1)))</formula>
    </cfRule>
    <cfRule type="containsText" dxfId="12" priority="3" operator="containsText" text="output">
      <formula>NOT(ISERROR(SEARCH("output",A1)))</formula>
    </cfRule>
    <cfRule type="containsText" dxfId="11" priority="4" operator="containsText" text="flex">
      <formula>NOT(ISERROR(SEARCH("flex",A1)))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3A48-EBC2-4C21-BCD4-83D78CF7A58B}">
  <dimension ref="A1:B262"/>
  <sheetViews>
    <sheetView topLeftCell="A61" zoomScale="115" zoomScaleNormal="115" workbookViewId="0">
      <selection activeCell="B18" sqref="B18"/>
    </sheetView>
  </sheetViews>
  <sheetFormatPr defaultColWidth="26.54296875" defaultRowHeight="14.5" x14ac:dyDescent="0.35"/>
  <cols>
    <col min="1" max="1" width="72.7265625" bestFit="1" customWidth="1"/>
    <col min="2" max="2" width="10.26953125" style="1" customWidth="1"/>
  </cols>
  <sheetData>
    <row r="1" spans="1:2" x14ac:dyDescent="0.35">
      <c r="A1" t="s">
        <v>0</v>
      </c>
      <c r="B1" s="1">
        <v>0</v>
      </c>
    </row>
    <row r="2" spans="1:2" x14ac:dyDescent="0.35">
      <c r="A2" t="s">
        <v>83</v>
      </c>
      <c r="B2" s="1">
        <v>0</v>
      </c>
    </row>
    <row r="3" spans="1:2" x14ac:dyDescent="0.35">
      <c r="A3" t="s">
        <v>84</v>
      </c>
      <c r="B3" s="1">
        <v>0</v>
      </c>
    </row>
    <row r="4" spans="1:2" x14ac:dyDescent="0.35">
      <c r="A4" t="s">
        <v>85</v>
      </c>
      <c r="B4" s="1">
        <v>0</v>
      </c>
    </row>
    <row r="5" spans="1:2" x14ac:dyDescent="0.35">
      <c r="A5" t="s">
        <v>86</v>
      </c>
      <c r="B5" s="1">
        <v>0</v>
      </c>
    </row>
    <row r="6" spans="1:2" x14ac:dyDescent="0.35">
      <c r="A6" t="s">
        <v>87</v>
      </c>
      <c r="B6" s="1">
        <v>0</v>
      </c>
    </row>
    <row r="7" spans="1:2" x14ac:dyDescent="0.35">
      <c r="A7" t="s">
        <v>88</v>
      </c>
      <c r="B7" s="1">
        <v>0</v>
      </c>
    </row>
    <row r="8" spans="1:2" x14ac:dyDescent="0.35">
      <c r="A8" t="s">
        <v>89</v>
      </c>
      <c r="B8" s="1">
        <v>0</v>
      </c>
    </row>
    <row r="9" spans="1:2" x14ac:dyDescent="0.35">
      <c r="A9" t="s">
        <v>90</v>
      </c>
      <c r="B9" s="1">
        <v>0</v>
      </c>
    </row>
    <row r="10" spans="1:2" x14ac:dyDescent="0.35">
      <c r="A10" t="s">
        <v>91</v>
      </c>
      <c r="B10" s="1">
        <v>0</v>
      </c>
    </row>
    <row r="11" spans="1:2" x14ac:dyDescent="0.35">
      <c r="A11" t="s">
        <v>92</v>
      </c>
      <c r="B11" s="1">
        <v>0</v>
      </c>
    </row>
    <row r="12" spans="1:2" x14ac:dyDescent="0.35">
      <c r="A12" t="s">
        <v>93</v>
      </c>
      <c r="B12" s="1">
        <v>0</v>
      </c>
    </row>
    <row r="13" spans="1:2" x14ac:dyDescent="0.35">
      <c r="A13" t="s">
        <v>94</v>
      </c>
      <c r="B13" s="1">
        <v>0</v>
      </c>
    </row>
    <row r="14" spans="1:2" x14ac:dyDescent="0.35">
      <c r="A14" t="s">
        <v>95</v>
      </c>
      <c r="B14" s="1">
        <v>0</v>
      </c>
    </row>
    <row r="15" spans="1:2" x14ac:dyDescent="0.35">
      <c r="A15" t="s">
        <v>96</v>
      </c>
      <c r="B15" s="4">
        <v>0</v>
      </c>
    </row>
    <row r="16" spans="1:2" x14ac:dyDescent="0.35">
      <c r="A16" t="s">
        <v>97</v>
      </c>
      <c r="B16" s="4">
        <v>0</v>
      </c>
    </row>
    <row r="17" spans="1:2" x14ac:dyDescent="0.35">
      <c r="A17" t="s">
        <v>98</v>
      </c>
      <c r="B17" s="4">
        <v>0</v>
      </c>
    </row>
    <row r="18" spans="1:2" x14ac:dyDescent="0.35">
      <c r="A18" t="s">
        <v>99</v>
      </c>
      <c r="B18" s="1">
        <v>0</v>
      </c>
    </row>
    <row r="19" spans="1:2" x14ac:dyDescent="0.35">
      <c r="A19" t="s">
        <v>100</v>
      </c>
      <c r="B19" s="1">
        <v>0</v>
      </c>
    </row>
    <row r="20" spans="1:2" x14ac:dyDescent="0.35">
      <c r="A20" t="s">
        <v>101</v>
      </c>
      <c r="B20" s="1">
        <v>0</v>
      </c>
    </row>
    <row r="21" spans="1:2" x14ac:dyDescent="0.35">
      <c r="A21" t="s">
        <v>102</v>
      </c>
      <c r="B21" s="1">
        <v>0</v>
      </c>
    </row>
    <row r="22" spans="1:2" x14ac:dyDescent="0.35">
      <c r="A22" t="s">
        <v>103</v>
      </c>
      <c r="B22" s="1">
        <v>0</v>
      </c>
    </row>
    <row r="23" spans="1:2" x14ac:dyDescent="0.35">
      <c r="A23" t="s">
        <v>104</v>
      </c>
      <c r="B23" s="1">
        <v>0</v>
      </c>
    </row>
    <row r="24" spans="1:2" x14ac:dyDescent="0.35">
      <c r="A24" t="s">
        <v>105</v>
      </c>
      <c r="B24" s="1">
        <v>0</v>
      </c>
    </row>
    <row r="25" spans="1:2" x14ac:dyDescent="0.35">
      <c r="A25" t="s">
        <v>106</v>
      </c>
      <c r="B25" s="1">
        <v>0</v>
      </c>
    </row>
    <row r="26" spans="1:2" x14ac:dyDescent="0.35">
      <c r="A26" t="s">
        <v>107</v>
      </c>
      <c r="B26" s="1">
        <v>0</v>
      </c>
    </row>
    <row r="27" spans="1:2" x14ac:dyDescent="0.35">
      <c r="A27" t="s">
        <v>108</v>
      </c>
      <c r="B27" s="1">
        <v>0</v>
      </c>
    </row>
    <row r="28" spans="1:2" x14ac:dyDescent="0.35">
      <c r="A28" t="s">
        <v>109</v>
      </c>
      <c r="B28" s="1">
        <v>0</v>
      </c>
    </row>
    <row r="29" spans="1:2" x14ac:dyDescent="0.35">
      <c r="A29" t="s">
        <v>110</v>
      </c>
      <c r="B29" s="1">
        <v>0</v>
      </c>
    </row>
    <row r="30" spans="1:2" x14ac:dyDescent="0.35">
      <c r="A30" t="s">
        <v>111</v>
      </c>
      <c r="B30" s="1">
        <v>0</v>
      </c>
    </row>
    <row r="31" spans="1:2" x14ac:dyDescent="0.35">
      <c r="A31" t="s">
        <v>112</v>
      </c>
      <c r="B31" s="1">
        <v>0</v>
      </c>
    </row>
    <row r="32" spans="1:2" x14ac:dyDescent="0.35">
      <c r="A32" t="s">
        <v>113</v>
      </c>
      <c r="B32" s="1">
        <v>0</v>
      </c>
    </row>
    <row r="33" spans="1:2" x14ac:dyDescent="0.35">
      <c r="A33" t="s">
        <v>114</v>
      </c>
      <c r="B33" s="1">
        <v>0</v>
      </c>
    </row>
    <row r="34" spans="1:2" x14ac:dyDescent="0.35">
      <c r="A34" t="s">
        <v>115</v>
      </c>
      <c r="B34" s="1">
        <v>0</v>
      </c>
    </row>
    <row r="35" spans="1:2" x14ac:dyDescent="0.35">
      <c r="A35" t="s">
        <v>116</v>
      </c>
      <c r="B35" s="1">
        <v>0</v>
      </c>
    </row>
    <row r="36" spans="1:2" x14ac:dyDescent="0.35">
      <c r="A36" t="s">
        <v>117</v>
      </c>
      <c r="B36" s="1">
        <v>0</v>
      </c>
    </row>
    <row r="37" spans="1:2" x14ac:dyDescent="0.35">
      <c r="A37" t="s">
        <v>118</v>
      </c>
      <c r="B37" s="1">
        <v>0</v>
      </c>
    </row>
    <row r="38" spans="1:2" x14ac:dyDescent="0.35">
      <c r="A38" t="s">
        <v>119</v>
      </c>
      <c r="B38" s="1">
        <v>0</v>
      </c>
    </row>
    <row r="39" spans="1:2" x14ac:dyDescent="0.35">
      <c r="A39" t="s">
        <v>120</v>
      </c>
      <c r="B39" s="1">
        <v>0</v>
      </c>
    </row>
    <row r="40" spans="1:2" x14ac:dyDescent="0.35">
      <c r="A40" t="s">
        <v>121</v>
      </c>
      <c r="B40" s="1">
        <v>0</v>
      </c>
    </row>
    <row r="41" spans="1:2" x14ac:dyDescent="0.35">
      <c r="A41" t="s">
        <v>122</v>
      </c>
      <c r="B41" s="1">
        <v>0</v>
      </c>
    </row>
    <row r="42" spans="1:2" x14ac:dyDescent="0.35">
      <c r="A42" t="s">
        <v>123</v>
      </c>
      <c r="B42" s="1">
        <v>0</v>
      </c>
    </row>
    <row r="43" spans="1:2" x14ac:dyDescent="0.35">
      <c r="A43" t="s">
        <v>124</v>
      </c>
      <c r="B43" s="1">
        <v>0</v>
      </c>
    </row>
    <row r="44" spans="1:2" x14ac:dyDescent="0.35">
      <c r="A44" t="s">
        <v>125</v>
      </c>
      <c r="B44" s="1">
        <v>0</v>
      </c>
    </row>
    <row r="45" spans="1:2" x14ac:dyDescent="0.35">
      <c r="A45" t="s">
        <v>126</v>
      </c>
      <c r="B45" s="1">
        <v>0</v>
      </c>
    </row>
    <row r="46" spans="1:2" x14ac:dyDescent="0.35">
      <c r="A46" t="s">
        <v>127</v>
      </c>
      <c r="B46" s="1">
        <v>0</v>
      </c>
    </row>
    <row r="47" spans="1:2" x14ac:dyDescent="0.35">
      <c r="A47" t="s">
        <v>128</v>
      </c>
      <c r="B47" s="1">
        <v>0</v>
      </c>
    </row>
    <row r="48" spans="1:2" x14ac:dyDescent="0.35">
      <c r="A48" t="s">
        <v>129</v>
      </c>
      <c r="B48" s="1">
        <v>0</v>
      </c>
    </row>
    <row r="49" spans="1:2" x14ac:dyDescent="0.35">
      <c r="A49" t="s">
        <v>130</v>
      </c>
      <c r="B49" s="1">
        <v>0</v>
      </c>
    </row>
    <row r="50" spans="1:2" x14ac:dyDescent="0.35">
      <c r="A50" t="s">
        <v>131</v>
      </c>
      <c r="B50" s="1">
        <v>0</v>
      </c>
    </row>
    <row r="51" spans="1:2" x14ac:dyDescent="0.35">
      <c r="A51" t="s">
        <v>132</v>
      </c>
      <c r="B51" s="1">
        <v>0</v>
      </c>
    </row>
    <row r="52" spans="1:2" x14ac:dyDescent="0.35">
      <c r="A52" t="s">
        <v>133</v>
      </c>
      <c r="B52" s="1">
        <v>0</v>
      </c>
    </row>
    <row r="53" spans="1:2" x14ac:dyDescent="0.35">
      <c r="A53" t="s">
        <v>134</v>
      </c>
      <c r="B53" s="1">
        <v>2</v>
      </c>
    </row>
    <row r="54" spans="1:2" x14ac:dyDescent="0.35">
      <c r="A54" t="s">
        <v>135</v>
      </c>
      <c r="B54" s="1">
        <v>2</v>
      </c>
    </row>
    <row r="55" spans="1:2" x14ac:dyDescent="0.35">
      <c r="A55" t="s">
        <v>136</v>
      </c>
      <c r="B55" s="4">
        <v>2</v>
      </c>
    </row>
    <row r="56" spans="1:2" x14ac:dyDescent="0.35">
      <c r="A56" t="s">
        <v>137</v>
      </c>
      <c r="B56" s="4">
        <v>0</v>
      </c>
    </row>
    <row r="57" spans="1:2" x14ac:dyDescent="0.35">
      <c r="A57" t="s">
        <v>138</v>
      </c>
      <c r="B57" s="4">
        <v>2</v>
      </c>
    </row>
    <row r="58" spans="1:2" x14ac:dyDescent="0.35">
      <c r="A58" t="s">
        <v>139</v>
      </c>
      <c r="B58" s="1">
        <v>2</v>
      </c>
    </row>
    <row r="59" spans="1:2" x14ac:dyDescent="0.35">
      <c r="A59" t="s">
        <v>140</v>
      </c>
      <c r="B59" s="1">
        <v>2</v>
      </c>
    </row>
    <row r="60" spans="1:2" x14ac:dyDescent="0.35">
      <c r="A60" t="s">
        <v>141</v>
      </c>
      <c r="B60" s="1">
        <v>2</v>
      </c>
    </row>
    <row r="61" spans="1:2" x14ac:dyDescent="0.35">
      <c r="A61" t="s">
        <v>142</v>
      </c>
      <c r="B61" s="1">
        <v>0</v>
      </c>
    </row>
    <row r="62" spans="1:2" x14ac:dyDescent="0.35">
      <c r="A62" t="s">
        <v>143</v>
      </c>
      <c r="B62" s="1">
        <v>0</v>
      </c>
    </row>
    <row r="63" spans="1:2" x14ac:dyDescent="0.35">
      <c r="A63" t="s">
        <v>144</v>
      </c>
      <c r="B63" s="1">
        <v>0</v>
      </c>
    </row>
    <row r="64" spans="1:2" x14ac:dyDescent="0.35">
      <c r="A64" t="s">
        <v>145</v>
      </c>
      <c r="B64" s="1">
        <v>0</v>
      </c>
    </row>
    <row r="65" spans="1:2" x14ac:dyDescent="0.35">
      <c r="A65" t="s">
        <v>146</v>
      </c>
      <c r="B65" s="1">
        <v>0</v>
      </c>
    </row>
    <row r="66" spans="1:2" x14ac:dyDescent="0.35">
      <c r="A66" t="s">
        <v>147</v>
      </c>
      <c r="B66" s="1">
        <v>0</v>
      </c>
    </row>
    <row r="67" spans="1:2" x14ac:dyDescent="0.35">
      <c r="A67" t="s">
        <v>148</v>
      </c>
      <c r="B67" s="1">
        <v>0</v>
      </c>
    </row>
    <row r="68" spans="1:2" x14ac:dyDescent="0.35">
      <c r="A68" t="s">
        <v>149</v>
      </c>
      <c r="B68" s="1">
        <v>0</v>
      </c>
    </row>
    <row r="69" spans="1:2" x14ac:dyDescent="0.35">
      <c r="A69" t="s">
        <v>150</v>
      </c>
      <c r="B69" s="1">
        <v>0</v>
      </c>
    </row>
    <row r="70" spans="1:2" x14ac:dyDescent="0.35">
      <c r="A70" t="s">
        <v>151</v>
      </c>
      <c r="B70" s="1">
        <v>0</v>
      </c>
    </row>
    <row r="71" spans="1:2" x14ac:dyDescent="0.35">
      <c r="A71" t="s">
        <v>152</v>
      </c>
      <c r="B71" s="1">
        <v>0</v>
      </c>
    </row>
    <row r="72" spans="1:2" x14ac:dyDescent="0.35">
      <c r="A72" t="s">
        <v>153</v>
      </c>
      <c r="B72" s="1">
        <v>0</v>
      </c>
    </row>
    <row r="73" spans="1:2" x14ac:dyDescent="0.35">
      <c r="A73" t="s">
        <v>154</v>
      </c>
      <c r="B73" s="1">
        <v>0</v>
      </c>
    </row>
    <row r="74" spans="1:2" x14ac:dyDescent="0.35">
      <c r="A74" t="s">
        <v>155</v>
      </c>
      <c r="B74" s="1">
        <v>0</v>
      </c>
    </row>
    <row r="75" spans="1:2" x14ac:dyDescent="0.35">
      <c r="A75" t="s">
        <v>156</v>
      </c>
      <c r="B75" s="1">
        <v>0</v>
      </c>
    </row>
    <row r="76" spans="1:2" x14ac:dyDescent="0.35">
      <c r="A76" t="s">
        <v>157</v>
      </c>
      <c r="B76" s="1">
        <v>0</v>
      </c>
    </row>
    <row r="77" spans="1:2" x14ac:dyDescent="0.35">
      <c r="A77" t="s">
        <v>158</v>
      </c>
      <c r="B77" s="1">
        <v>0</v>
      </c>
    </row>
    <row r="78" spans="1:2" x14ac:dyDescent="0.35">
      <c r="A78" t="s">
        <v>159</v>
      </c>
      <c r="B78" s="1">
        <v>0</v>
      </c>
    </row>
    <row r="79" spans="1:2" x14ac:dyDescent="0.35">
      <c r="A79" t="s">
        <v>160</v>
      </c>
      <c r="B79" s="1">
        <v>0</v>
      </c>
    </row>
    <row r="80" spans="1:2" x14ac:dyDescent="0.35">
      <c r="A80" t="s">
        <v>161</v>
      </c>
      <c r="B80" s="1">
        <v>0</v>
      </c>
    </row>
    <row r="81" spans="1:2" x14ac:dyDescent="0.35">
      <c r="A81" t="s">
        <v>162</v>
      </c>
      <c r="B81" s="1">
        <v>0</v>
      </c>
    </row>
    <row r="82" spans="1:2" x14ac:dyDescent="0.35">
      <c r="A82" t="s">
        <v>163</v>
      </c>
      <c r="B82" s="1">
        <v>0</v>
      </c>
    </row>
    <row r="83" spans="1:2" x14ac:dyDescent="0.35">
      <c r="A83" t="s">
        <v>164</v>
      </c>
      <c r="B83" s="1">
        <v>0</v>
      </c>
    </row>
    <row r="84" spans="1:2" x14ac:dyDescent="0.35">
      <c r="A84" t="s">
        <v>165</v>
      </c>
      <c r="B84" s="1">
        <v>0</v>
      </c>
    </row>
    <row r="85" spans="1:2" x14ac:dyDescent="0.35">
      <c r="A85" t="s">
        <v>166</v>
      </c>
      <c r="B85" s="1">
        <v>0</v>
      </c>
    </row>
    <row r="86" spans="1:2" x14ac:dyDescent="0.35">
      <c r="A86" t="s">
        <v>167</v>
      </c>
      <c r="B86" s="1">
        <v>0</v>
      </c>
    </row>
    <row r="87" spans="1:2" x14ac:dyDescent="0.35">
      <c r="A87" t="s">
        <v>168</v>
      </c>
      <c r="B87" s="1">
        <v>0</v>
      </c>
    </row>
    <row r="88" spans="1:2" x14ac:dyDescent="0.35">
      <c r="A88" t="s">
        <v>169</v>
      </c>
      <c r="B88" s="1">
        <v>0</v>
      </c>
    </row>
    <row r="89" spans="1:2" x14ac:dyDescent="0.35">
      <c r="A89" t="s">
        <v>170</v>
      </c>
      <c r="B89" s="1">
        <v>3</v>
      </c>
    </row>
    <row r="90" spans="1:2" x14ac:dyDescent="0.35">
      <c r="A90" t="s">
        <v>171</v>
      </c>
      <c r="B90" s="1">
        <v>3</v>
      </c>
    </row>
    <row r="91" spans="1:2" x14ac:dyDescent="0.35">
      <c r="A91" t="s">
        <v>172</v>
      </c>
      <c r="B91" s="1">
        <v>3</v>
      </c>
    </row>
    <row r="92" spans="1:2" x14ac:dyDescent="0.35">
      <c r="A92" t="s">
        <v>173</v>
      </c>
      <c r="B92" s="4">
        <v>3</v>
      </c>
    </row>
    <row r="93" spans="1:2" x14ac:dyDescent="0.35">
      <c r="A93" t="s">
        <v>174</v>
      </c>
      <c r="B93" s="4">
        <v>0</v>
      </c>
    </row>
    <row r="94" spans="1:2" x14ac:dyDescent="0.35">
      <c r="A94" t="s">
        <v>175</v>
      </c>
      <c r="B94" s="4">
        <v>3</v>
      </c>
    </row>
    <row r="95" spans="1:2" x14ac:dyDescent="0.35">
      <c r="A95" t="s">
        <v>176</v>
      </c>
      <c r="B95" s="1">
        <v>3</v>
      </c>
    </row>
    <row r="96" spans="1:2" x14ac:dyDescent="0.35">
      <c r="A96" t="s">
        <v>177</v>
      </c>
      <c r="B96" s="1">
        <v>3</v>
      </c>
    </row>
    <row r="97" spans="1:2" x14ac:dyDescent="0.35">
      <c r="A97" t="s">
        <v>178</v>
      </c>
      <c r="B97" s="1">
        <v>3</v>
      </c>
    </row>
    <row r="98" spans="1:2" x14ac:dyDescent="0.35">
      <c r="A98" t="s">
        <v>179</v>
      </c>
      <c r="B98" s="1">
        <v>3</v>
      </c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261" spans="1:1" x14ac:dyDescent="0.35">
      <c r="A261" s="2"/>
    </row>
    <row r="262" spans="1:1" x14ac:dyDescent="0.35">
      <c r="A262" s="2"/>
    </row>
  </sheetData>
  <conditionalFormatting sqref="A1:A1048576">
    <cfRule type="containsText" dxfId="10" priority="1" operator="containsText" text="external">
      <formula>NOT(ISERROR(SEARCH("external",A1)))</formula>
    </cfRule>
    <cfRule type="containsText" dxfId="9" priority="2" operator="containsText" text="energy">
      <formula>NOT(ISERROR(SEARCH("energy",A1)))</formula>
    </cfRule>
    <cfRule type="containsText" dxfId="8" priority="3" operator="containsText" text="output">
      <formula>NOT(ISERROR(SEARCH("output",A1)))</formula>
    </cfRule>
    <cfRule type="containsText" dxfId="7" priority="4" operator="containsText" text="flex">
      <formula>NOT(ISERROR(SEARCH("flex",A1)))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1339-25BD-45A3-8D77-198863C8BF71}">
  <dimension ref="A1:E262"/>
  <sheetViews>
    <sheetView topLeftCell="A22" zoomScaleNormal="100" workbookViewId="0">
      <selection activeCell="E1" sqref="E1"/>
    </sheetView>
  </sheetViews>
  <sheetFormatPr defaultColWidth="36.81640625" defaultRowHeight="14.5" x14ac:dyDescent="0.35"/>
  <cols>
    <col min="1" max="1" width="72.7265625" bestFit="1" customWidth="1"/>
    <col min="2" max="2" width="13.81640625" style="1" customWidth="1"/>
    <col min="3" max="3" width="11.81640625" bestFit="1" customWidth="1"/>
    <col min="4" max="4" width="12.453125" bestFit="1" customWidth="1"/>
    <col min="5" max="5" width="17.7265625" customWidth="1"/>
    <col min="6" max="6" width="11.81640625" bestFit="1" customWidth="1"/>
    <col min="7" max="7" width="8.81640625" bestFit="1" customWidth="1"/>
  </cols>
  <sheetData>
    <row r="1" spans="1:4" x14ac:dyDescent="0.35">
      <c r="A1" t="s">
        <v>0</v>
      </c>
      <c r="B1" s="1">
        <v>0</v>
      </c>
    </row>
    <row r="2" spans="1:4" x14ac:dyDescent="0.35">
      <c r="A2" t="s">
        <v>1</v>
      </c>
      <c r="B2" s="13">
        <v>-1</v>
      </c>
      <c r="C2">
        <v>0</v>
      </c>
      <c r="D2">
        <f>C2*B2</f>
        <v>0</v>
      </c>
    </row>
    <row r="3" spans="1:4" x14ac:dyDescent="0.35">
      <c r="A3" t="s">
        <v>2</v>
      </c>
      <c r="B3" s="13">
        <v>-1</v>
      </c>
      <c r="C3">
        <v>9.9629398440004291</v>
      </c>
      <c r="D3">
        <f t="shared" ref="D3:D65" si="0">C3*B3</f>
        <v>-9.9629398440004291</v>
      </c>
    </row>
    <row r="4" spans="1:4" s="7" customFormat="1" x14ac:dyDescent="0.35">
      <c r="A4" s="7" t="s">
        <v>3</v>
      </c>
      <c r="B4" s="14">
        <v>-1</v>
      </c>
      <c r="C4" s="7">
        <v>0</v>
      </c>
      <c r="D4" s="7">
        <f t="shared" si="0"/>
        <v>0</v>
      </c>
    </row>
    <row r="5" spans="1:4" x14ac:dyDescent="0.35">
      <c r="A5" t="s">
        <v>237</v>
      </c>
      <c r="B5" s="1">
        <v>0</v>
      </c>
      <c r="C5">
        <v>4.6099079299999998E-2</v>
      </c>
      <c r="D5">
        <f t="shared" si="0"/>
        <v>0</v>
      </c>
    </row>
    <row r="6" spans="1:4" x14ac:dyDescent="0.35">
      <c r="A6" t="s">
        <v>236</v>
      </c>
      <c r="B6" s="1">
        <v>0</v>
      </c>
      <c r="C6">
        <v>6.7408200000000003</v>
      </c>
      <c r="D6">
        <f t="shared" si="0"/>
        <v>0</v>
      </c>
    </row>
    <row r="7" spans="1:4" x14ac:dyDescent="0.35">
      <c r="A7" t="s">
        <v>235</v>
      </c>
      <c r="B7" s="1">
        <v>0</v>
      </c>
      <c r="C7">
        <v>7.2270000000000003</v>
      </c>
      <c r="D7">
        <f t="shared" si="0"/>
        <v>0</v>
      </c>
    </row>
    <row r="8" spans="1:4" x14ac:dyDescent="0.35">
      <c r="A8" t="s">
        <v>234</v>
      </c>
      <c r="B8" s="1">
        <v>0</v>
      </c>
      <c r="C8">
        <v>0.10276740000000002</v>
      </c>
      <c r="D8">
        <f t="shared" si="0"/>
        <v>0</v>
      </c>
    </row>
    <row r="9" spans="1:4" x14ac:dyDescent="0.35">
      <c r="A9" t="s">
        <v>233</v>
      </c>
      <c r="B9" s="1">
        <v>0</v>
      </c>
      <c r="C9">
        <v>0</v>
      </c>
      <c r="D9">
        <f t="shared" si="0"/>
        <v>0</v>
      </c>
    </row>
    <row r="10" spans="1:4" x14ac:dyDescent="0.35">
      <c r="A10" t="s">
        <v>232</v>
      </c>
      <c r="B10" s="1">
        <v>0</v>
      </c>
      <c r="C10">
        <v>0</v>
      </c>
      <c r="D10">
        <f t="shared" si="0"/>
        <v>0</v>
      </c>
    </row>
    <row r="11" spans="1:4" x14ac:dyDescent="0.35">
      <c r="A11" t="s">
        <v>231</v>
      </c>
      <c r="B11" s="1">
        <v>0</v>
      </c>
      <c r="C11">
        <v>0</v>
      </c>
      <c r="D11">
        <f t="shared" si="0"/>
        <v>0</v>
      </c>
    </row>
    <row r="12" spans="1:4" x14ac:dyDescent="0.35">
      <c r="A12" t="s">
        <v>230</v>
      </c>
      <c r="B12" s="1">
        <v>0</v>
      </c>
      <c r="C12">
        <v>1.9101961800000018E-2</v>
      </c>
      <c r="D12">
        <f t="shared" si="0"/>
        <v>0</v>
      </c>
    </row>
    <row r="13" spans="1:4" x14ac:dyDescent="0.35">
      <c r="A13" t="s">
        <v>229</v>
      </c>
      <c r="B13" s="1">
        <v>0</v>
      </c>
      <c r="C13">
        <v>0.21392996179999896</v>
      </c>
      <c r="D13">
        <f t="shared" si="0"/>
        <v>0</v>
      </c>
    </row>
    <row r="14" spans="1:4" x14ac:dyDescent="0.35">
      <c r="A14" t="s">
        <v>228</v>
      </c>
      <c r="B14" s="1">
        <v>0</v>
      </c>
      <c r="C14">
        <v>5.9328591352002311</v>
      </c>
      <c r="D14">
        <f t="shared" si="0"/>
        <v>0</v>
      </c>
    </row>
    <row r="15" spans="1:4" x14ac:dyDescent="0.35">
      <c r="A15" t="s">
        <v>227</v>
      </c>
      <c r="B15" s="1">
        <v>0</v>
      </c>
      <c r="C15">
        <v>0</v>
      </c>
      <c r="D15">
        <f t="shared" si="0"/>
        <v>0</v>
      </c>
    </row>
    <row r="16" spans="1:4" x14ac:dyDescent="0.35">
      <c r="A16" t="s">
        <v>226</v>
      </c>
      <c r="B16" s="1">
        <v>0</v>
      </c>
      <c r="C16">
        <v>1.1256004320001018</v>
      </c>
      <c r="D16">
        <f t="shared" si="0"/>
        <v>0</v>
      </c>
    </row>
    <row r="17" spans="1:4" x14ac:dyDescent="0.35">
      <c r="A17" t="s">
        <v>225</v>
      </c>
      <c r="B17" s="1">
        <v>0</v>
      </c>
      <c r="C17">
        <v>0.37520043600005448</v>
      </c>
      <c r="D17">
        <f t="shared" si="0"/>
        <v>0</v>
      </c>
    </row>
    <row r="18" spans="1:4" x14ac:dyDescent="0.35">
      <c r="A18" t="s">
        <v>224</v>
      </c>
      <c r="B18" s="1">
        <v>0</v>
      </c>
      <c r="C18">
        <v>0</v>
      </c>
      <c r="D18">
        <f t="shared" si="0"/>
        <v>0</v>
      </c>
    </row>
    <row r="19" spans="1:4" x14ac:dyDescent="0.35">
      <c r="A19" t="s">
        <v>223</v>
      </c>
      <c r="B19" s="1">
        <v>0</v>
      </c>
      <c r="C19">
        <v>0</v>
      </c>
      <c r="D19">
        <f t="shared" si="0"/>
        <v>0</v>
      </c>
    </row>
    <row r="20" spans="1:4" x14ac:dyDescent="0.35">
      <c r="A20" t="s">
        <v>222</v>
      </c>
      <c r="B20" s="1">
        <v>0</v>
      </c>
      <c r="C20">
        <v>0</v>
      </c>
      <c r="D20">
        <f t="shared" si="0"/>
        <v>0</v>
      </c>
    </row>
    <row r="21" spans="1:4" x14ac:dyDescent="0.35">
      <c r="A21" t="s">
        <v>221</v>
      </c>
      <c r="B21" s="1">
        <v>0</v>
      </c>
      <c r="C21">
        <v>0</v>
      </c>
      <c r="D21">
        <f t="shared" si="0"/>
        <v>0</v>
      </c>
    </row>
    <row r="22" spans="1:4" x14ac:dyDescent="0.35">
      <c r="A22" t="s">
        <v>220</v>
      </c>
      <c r="B22" s="1">
        <v>0</v>
      </c>
      <c r="C22">
        <v>3.5474026254000077</v>
      </c>
      <c r="D22">
        <f t="shared" si="0"/>
        <v>0</v>
      </c>
    </row>
    <row r="23" spans="1:4" x14ac:dyDescent="0.35">
      <c r="A23" t="s">
        <v>219</v>
      </c>
      <c r="B23" s="1">
        <v>0</v>
      </c>
      <c r="C23">
        <v>0.68392954919999993</v>
      </c>
      <c r="D23">
        <f t="shared" si="0"/>
        <v>0</v>
      </c>
    </row>
    <row r="24" spans="1:4" s="7" customFormat="1" x14ac:dyDescent="0.35">
      <c r="A24" s="7" t="s">
        <v>218</v>
      </c>
      <c r="B24" s="8">
        <v>0</v>
      </c>
      <c r="C24" s="7">
        <v>0</v>
      </c>
      <c r="D24" s="7">
        <f t="shared" si="0"/>
        <v>0</v>
      </c>
    </row>
    <row r="25" spans="1:4" s="7" customFormat="1" x14ac:dyDescent="0.35">
      <c r="A25" s="7" t="s">
        <v>217</v>
      </c>
      <c r="B25" s="8">
        <v>1</v>
      </c>
      <c r="C25" s="7">
        <v>0</v>
      </c>
      <c r="D25" s="7">
        <f t="shared" si="0"/>
        <v>0</v>
      </c>
    </row>
    <row r="26" spans="1:4" x14ac:dyDescent="0.35">
      <c r="A26" t="s">
        <v>216</v>
      </c>
      <c r="B26" s="1">
        <v>1</v>
      </c>
      <c r="C26">
        <v>0</v>
      </c>
      <c r="D26">
        <f t="shared" si="0"/>
        <v>0</v>
      </c>
    </row>
    <row r="27" spans="1:4" s="7" customFormat="1" x14ac:dyDescent="0.35">
      <c r="A27" s="7" t="s">
        <v>215</v>
      </c>
      <c r="B27" s="8">
        <v>1</v>
      </c>
      <c r="C27" s="7">
        <v>0</v>
      </c>
      <c r="D27" s="7">
        <f t="shared" si="0"/>
        <v>0</v>
      </c>
    </row>
    <row r="28" spans="1:4" x14ac:dyDescent="0.35">
      <c r="A28" t="s">
        <v>214</v>
      </c>
      <c r="B28" s="13">
        <v>0</v>
      </c>
      <c r="C28">
        <v>0</v>
      </c>
      <c r="D28">
        <f t="shared" si="0"/>
        <v>0</v>
      </c>
    </row>
    <row r="29" spans="1:4" s="7" customFormat="1" x14ac:dyDescent="0.35">
      <c r="A29" s="7" t="s">
        <v>213</v>
      </c>
      <c r="B29" s="14">
        <v>0</v>
      </c>
      <c r="C29" s="7">
        <v>0</v>
      </c>
      <c r="D29" s="7">
        <f t="shared" si="0"/>
        <v>0</v>
      </c>
    </row>
    <row r="30" spans="1:4" x14ac:dyDescent="0.35">
      <c r="A30" t="s">
        <v>21</v>
      </c>
      <c r="B30" s="13">
        <v>1</v>
      </c>
      <c r="C30">
        <v>0</v>
      </c>
      <c r="D30">
        <f t="shared" si="0"/>
        <v>0</v>
      </c>
    </row>
    <row r="31" spans="1:4" x14ac:dyDescent="0.35">
      <c r="A31" t="s">
        <v>22</v>
      </c>
      <c r="B31" s="13">
        <v>1</v>
      </c>
      <c r="C31">
        <v>9.2178019799998498</v>
      </c>
      <c r="D31">
        <f t="shared" si="0"/>
        <v>9.2178019799998498</v>
      </c>
    </row>
    <row r="32" spans="1:4" s="7" customFormat="1" x14ac:dyDescent="0.35">
      <c r="A32" s="7" t="s">
        <v>23</v>
      </c>
      <c r="B32" s="14">
        <v>1</v>
      </c>
      <c r="C32" s="7">
        <v>10.598605739998488</v>
      </c>
      <c r="D32" s="7">
        <f t="shared" si="0"/>
        <v>10.598605739998488</v>
      </c>
    </row>
    <row r="33" spans="1:4" x14ac:dyDescent="0.35">
      <c r="A33" t="s">
        <v>212</v>
      </c>
      <c r="B33" s="1">
        <v>0</v>
      </c>
      <c r="C33">
        <v>0</v>
      </c>
      <c r="D33">
        <f t="shared" si="0"/>
        <v>0</v>
      </c>
    </row>
    <row r="34" spans="1:4" x14ac:dyDescent="0.35">
      <c r="A34" t="s">
        <v>211</v>
      </c>
      <c r="B34" s="1">
        <v>0</v>
      </c>
      <c r="C34">
        <v>6.3888887519991906</v>
      </c>
      <c r="D34">
        <f t="shared" si="0"/>
        <v>0</v>
      </c>
    </row>
    <row r="35" spans="1:4" x14ac:dyDescent="0.35">
      <c r="A35" t="s">
        <v>210</v>
      </c>
      <c r="B35" s="1">
        <v>0</v>
      </c>
      <c r="C35">
        <v>0</v>
      </c>
      <c r="D35">
        <f t="shared" si="0"/>
        <v>0</v>
      </c>
    </row>
    <row r="36" spans="1:4" x14ac:dyDescent="0.35">
      <c r="A36" t="s">
        <v>209</v>
      </c>
      <c r="B36" s="1">
        <v>0</v>
      </c>
      <c r="C36">
        <v>0</v>
      </c>
      <c r="D36">
        <f t="shared" si="0"/>
        <v>0</v>
      </c>
    </row>
    <row r="37" spans="1:4" x14ac:dyDescent="0.35">
      <c r="A37" t="s">
        <v>208</v>
      </c>
      <c r="B37" s="1">
        <v>0</v>
      </c>
      <c r="C37">
        <v>0</v>
      </c>
      <c r="D37">
        <f t="shared" si="0"/>
        <v>0</v>
      </c>
    </row>
    <row r="38" spans="1:4" x14ac:dyDescent="0.35">
      <c r="A38" t="s">
        <v>207</v>
      </c>
      <c r="B38" s="1">
        <v>0</v>
      </c>
      <c r="C38">
        <v>0</v>
      </c>
      <c r="D38">
        <f t="shared" si="0"/>
        <v>0</v>
      </c>
    </row>
    <row r="39" spans="1:4" x14ac:dyDescent="0.35">
      <c r="A39" t="s">
        <v>206</v>
      </c>
      <c r="B39" s="1">
        <v>0</v>
      </c>
      <c r="C39">
        <v>3.5524957758000024</v>
      </c>
      <c r="D39">
        <f t="shared" si="0"/>
        <v>0</v>
      </c>
    </row>
    <row r="40" spans="1:4" x14ac:dyDescent="0.35">
      <c r="A40" s="3" t="s">
        <v>205</v>
      </c>
      <c r="B40" s="13">
        <v>1</v>
      </c>
      <c r="C40">
        <v>0.32425154050000038</v>
      </c>
      <c r="D40">
        <f t="shared" si="0"/>
        <v>0.32425154050000038</v>
      </c>
    </row>
    <row r="41" spans="1:4" x14ac:dyDescent="0.35">
      <c r="A41" t="s">
        <v>204</v>
      </c>
      <c r="B41" s="1">
        <v>0</v>
      </c>
      <c r="C41">
        <v>0</v>
      </c>
      <c r="D41">
        <f t="shared" si="0"/>
        <v>0</v>
      </c>
    </row>
    <row r="42" spans="1:4" x14ac:dyDescent="0.35">
      <c r="A42" t="s">
        <v>203</v>
      </c>
      <c r="B42" s="1">
        <v>0</v>
      </c>
      <c r="C42">
        <v>0</v>
      </c>
      <c r="D42">
        <f t="shared" si="0"/>
        <v>0</v>
      </c>
    </row>
    <row r="43" spans="1:4" x14ac:dyDescent="0.35">
      <c r="A43" t="s">
        <v>202</v>
      </c>
      <c r="B43" s="1">
        <v>0</v>
      </c>
      <c r="C43">
        <v>0</v>
      </c>
      <c r="D43">
        <f t="shared" si="0"/>
        <v>0</v>
      </c>
    </row>
    <row r="44" spans="1:4" x14ac:dyDescent="0.35">
      <c r="A44" t="s">
        <v>201</v>
      </c>
      <c r="B44" s="1">
        <v>0</v>
      </c>
      <c r="C44">
        <v>0</v>
      </c>
      <c r="D44">
        <f t="shared" si="0"/>
        <v>0</v>
      </c>
    </row>
    <row r="45" spans="1:4" s="7" customFormat="1" x14ac:dyDescent="0.35">
      <c r="A45" s="7" t="s">
        <v>200</v>
      </c>
      <c r="B45" s="8">
        <v>0</v>
      </c>
      <c r="C45" s="7">
        <v>0</v>
      </c>
      <c r="D45" s="7">
        <f t="shared" si="0"/>
        <v>0</v>
      </c>
    </row>
    <row r="46" spans="1:4" x14ac:dyDescent="0.35">
      <c r="A46" t="s">
        <v>199</v>
      </c>
      <c r="B46" s="1">
        <v>1</v>
      </c>
      <c r="C46">
        <v>0</v>
      </c>
      <c r="D46">
        <f t="shared" si="0"/>
        <v>0</v>
      </c>
    </row>
    <row r="47" spans="1:4" x14ac:dyDescent="0.35">
      <c r="A47" t="s">
        <v>198</v>
      </c>
      <c r="B47" s="1">
        <v>1</v>
      </c>
      <c r="C47">
        <v>0</v>
      </c>
      <c r="D47">
        <f t="shared" si="0"/>
        <v>0</v>
      </c>
    </row>
    <row r="48" spans="1:4" x14ac:dyDescent="0.35">
      <c r="A48" t="s">
        <v>197</v>
      </c>
      <c r="B48" s="1">
        <v>1</v>
      </c>
      <c r="C48">
        <v>0</v>
      </c>
      <c r="D48">
        <f t="shared" si="0"/>
        <v>0</v>
      </c>
    </row>
    <row r="49" spans="1:4" s="7" customFormat="1" x14ac:dyDescent="0.35">
      <c r="A49" s="7" t="s">
        <v>196</v>
      </c>
      <c r="B49" s="8">
        <v>1</v>
      </c>
      <c r="C49" s="7">
        <v>0</v>
      </c>
      <c r="D49" s="7">
        <f t="shared" si="0"/>
        <v>0</v>
      </c>
    </row>
    <row r="50" spans="1:4" x14ac:dyDescent="0.35">
      <c r="A50" t="s">
        <v>195</v>
      </c>
      <c r="B50" s="1">
        <v>1</v>
      </c>
      <c r="C50">
        <v>0</v>
      </c>
      <c r="D50">
        <f t="shared" si="0"/>
        <v>0</v>
      </c>
    </row>
    <row r="51" spans="1:4" x14ac:dyDescent="0.35">
      <c r="A51" t="s">
        <v>194</v>
      </c>
      <c r="B51" s="1">
        <v>1</v>
      </c>
      <c r="C51">
        <v>4.5018124301000579</v>
      </c>
      <c r="D51">
        <f>C51*B51</f>
        <v>4.5018124301000579</v>
      </c>
    </row>
    <row r="52" spans="1:4" x14ac:dyDescent="0.35">
      <c r="A52" t="s">
        <v>193</v>
      </c>
      <c r="B52" s="1">
        <v>1</v>
      </c>
      <c r="C52">
        <v>0</v>
      </c>
      <c r="D52">
        <f t="shared" si="0"/>
        <v>0</v>
      </c>
    </row>
    <row r="53" spans="1:4" x14ac:dyDescent="0.35">
      <c r="A53" t="s">
        <v>192</v>
      </c>
      <c r="B53" s="1">
        <v>0</v>
      </c>
      <c r="C53">
        <v>0</v>
      </c>
      <c r="D53">
        <f t="shared" si="0"/>
        <v>0</v>
      </c>
    </row>
    <row r="54" spans="1:4" x14ac:dyDescent="0.35">
      <c r="A54" t="s">
        <v>191</v>
      </c>
      <c r="B54" s="1">
        <v>1</v>
      </c>
      <c r="C54">
        <v>0</v>
      </c>
      <c r="D54">
        <f t="shared" si="0"/>
        <v>0</v>
      </c>
    </row>
    <row r="55" spans="1:4" x14ac:dyDescent="0.35">
      <c r="A55" t="s">
        <v>190</v>
      </c>
      <c r="B55" s="1">
        <v>1</v>
      </c>
      <c r="C55">
        <v>0</v>
      </c>
      <c r="D55">
        <f t="shared" si="0"/>
        <v>0</v>
      </c>
    </row>
    <row r="56" spans="1:4" x14ac:dyDescent="0.35">
      <c r="A56" t="s">
        <v>189</v>
      </c>
      <c r="B56" s="1">
        <v>1</v>
      </c>
      <c r="C56">
        <v>0</v>
      </c>
      <c r="D56">
        <f t="shared" si="0"/>
        <v>0</v>
      </c>
    </row>
    <row r="57" spans="1:4" x14ac:dyDescent="0.35">
      <c r="A57" t="s">
        <v>188</v>
      </c>
      <c r="B57" s="1">
        <v>1</v>
      </c>
      <c r="C57">
        <v>2.4887160000000197E-3</v>
      </c>
      <c r="D57">
        <f t="shared" si="0"/>
        <v>2.4887160000000197E-3</v>
      </c>
    </row>
    <row r="58" spans="1:4" x14ac:dyDescent="0.35">
      <c r="A58" t="s">
        <v>187</v>
      </c>
      <c r="B58" s="1">
        <v>1</v>
      </c>
      <c r="C58">
        <v>0.66669994799998167</v>
      </c>
      <c r="D58">
        <f t="shared" si="0"/>
        <v>0.66669994799998167</v>
      </c>
    </row>
    <row r="59" spans="1:4" x14ac:dyDescent="0.35">
      <c r="A59" t="s">
        <v>186</v>
      </c>
      <c r="B59" s="1">
        <v>1</v>
      </c>
      <c r="C59">
        <v>1.5000004600000057E-2</v>
      </c>
      <c r="D59">
        <f t="shared" si="0"/>
        <v>1.5000004600000057E-2</v>
      </c>
    </row>
    <row r="60" spans="1:4" x14ac:dyDescent="0.35">
      <c r="A60" t="s">
        <v>185</v>
      </c>
      <c r="B60" s="1">
        <v>1</v>
      </c>
      <c r="C60">
        <v>0</v>
      </c>
      <c r="D60">
        <f t="shared" si="0"/>
        <v>0</v>
      </c>
    </row>
    <row r="61" spans="1:4" x14ac:dyDescent="0.35">
      <c r="A61" t="s">
        <v>184</v>
      </c>
      <c r="B61" s="1">
        <v>0</v>
      </c>
      <c r="C61">
        <v>0</v>
      </c>
      <c r="D61">
        <f t="shared" si="0"/>
        <v>0</v>
      </c>
    </row>
    <row r="62" spans="1:4" x14ac:dyDescent="0.35">
      <c r="A62" t="s">
        <v>183</v>
      </c>
      <c r="B62" s="1">
        <v>0</v>
      </c>
      <c r="C62">
        <v>0</v>
      </c>
      <c r="D62">
        <f t="shared" si="0"/>
        <v>0</v>
      </c>
    </row>
    <row r="63" spans="1:4" x14ac:dyDescent="0.35">
      <c r="A63" t="s">
        <v>182</v>
      </c>
      <c r="B63" s="1">
        <v>1</v>
      </c>
      <c r="C63">
        <v>4.2286534000000138E-3</v>
      </c>
      <c r="D63">
        <f t="shared" si="0"/>
        <v>4.2286534000000138E-3</v>
      </c>
    </row>
    <row r="64" spans="1:4" s="7" customFormat="1" x14ac:dyDescent="0.35">
      <c r="A64" s="7" t="s">
        <v>181</v>
      </c>
      <c r="B64" s="8">
        <v>1</v>
      </c>
      <c r="C64" s="7">
        <v>0</v>
      </c>
      <c r="D64" s="7">
        <f t="shared" si="0"/>
        <v>0</v>
      </c>
    </row>
    <row r="65" spans="1:5" s="15" customFormat="1" ht="15" thickBot="1" x14ac:dyDescent="0.4">
      <c r="A65" s="15" t="s">
        <v>180</v>
      </c>
      <c r="B65" s="16">
        <v>1</v>
      </c>
      <c r="C65" s="15">
        <v>0.7053762240000705</v>
      </c>
      <c r="D65" s="15">
        <f t="shared" si="0"/>
        <v>0.7053762240000705</v>
      </c>
    </row>
    <row r="66" spans="1:5" ht="15" thickTop="1" x14ac:dyDescent="0.35">
      <c r="C66">
        <f>SUM(C25:C65)-SUM(C2:C4)-C40</f>
        <v>25.690458379897208</v>
      </c>
      <c r="D66" s="17">
        <f>SUM(D2:D65)</f>
        <v>16.073325392598019</v>
      </c>
    </row>
    <row r="68" spans="1:5" x14ac:dyDescent="0.35">
      <c r="C68">
        <f>C66-(SUM(C30:C32)-SUM(C2:C4))-C65</f>
        <v>15.131614279899228</v>
      </c>
      <c r="D68">
        <f>(18.58427+2.53935)</f>
        <v>21.123619999999999</v>
      </c>
      <c r="E68" t="s">
        <v>517</v>
      </c>
    </row>
    <row r="69" spans="1:5" x14ac:dyDescent="0.35">
      <c r="C69">
        <f>C68-D68</f>
        <v>-5.9920057201007708</v>
      </c>
      <c r="D69">
        <f>D68/3.6</f>
        <v>5.8676722222222217</v>
      </c>
      <c r="E69" t="s">
        <v>509</v>
      </c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261" spans="1:1" x14ac:dyDescent="0.35">
      <c r="A261" s="2"/>
    </row>
    <row r="262" spans="1:1" x14ac:dyDescent="0.35">
      <c r="A262" s="2"/>
    </row>
  </sheetData>
  <conditionalFormatting sqref="A1:A1048576">
    <cfRule type="containsText" dxfId="6" priority="1" operator="containsText" text="external">
      <formula>NOT(ISERROR(SEARCH("external",A1)))</formula>
    </cfRule>
    <cfRule type="containsText" dxfId="5" priority="2" operator="containsText" text="energy">
      <formula>NOT(ISERROR(SEARCH("energy",A1)))</formula>
    </cfRule>
    <cfRule type="containsText" dxfId="4" priority="3" operator="containsText" text="output">
      <formula>NOT(ISERROR(SEARCH("output",A1)))</formula>
    </cfRule>
    <cfRule type="containsText" dxfId="3" priority="4" operator="containsText" text="flex">
      <formula>NOT(ISERROR(SEARCH("flex",A1)))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B9DA-5613-4710-A259-36BD96B97205}">
  <dimension ref="A1:H292"/>
  <sheetViews>
    <sheetView tabSelected="1" zoomScale="85" zoomScaleNormal="85" workbookViewId="0">
      <selection activeCell="D293" sqref="D293"/>
    </sheetView>
  </sheetViews>
  <sheetFormatPr defaultColWidth="33.7265625" defaultRowHeight="14.5" x14ac:dyDescent="0.35"/>
  <cols>
    <col min="1" max="1" width="72.7265625" bestFit="1" customWidth="1"/>
    <col min="2" max="2" width="10.1796875" style="1" customWidth="1"/>
    <col min="3" max="4" width="11.81640625" bestFit="1" customWidth="1"/>
    <col min="6" max="7" width="11.81640625" bestFit="1" customWidth="1"/>
    <col min="8" max="8" width="23.453125" bestFit="1" customWidth="1"/>
  </cols>
  <sheetData>
    <row r="1" spans="1:4" x14ac:dyDescent="0.35">
      <c r="A1" t="s">
        <v>0</v>
      </c>
      <c r="B1" s="1">
        <v>0</v>
      </c>
    </row>
    <row r="2" spans="1:4" x14ac:dyDescent="0.35">
      <c r="A2" t="s">
        <v>238</v>
      </c>
      <c r="B2" s="1">
        <v>0</v>
      </c>
      <c r="C2">
        <v>0</v>
      </c>
      <c r="D2">
        <f>B2*C2</f>
        <v>0</v>
      </c>
    </row>
    <row r="3" spans="1:4" x14ac:dyDescent="0.35">
      <c r="A3" t="s">
        <v>239</v>
      </c>
      <c r="B3" s="1">
        <v>0</v>
      </c>
      <c r="C3">
        <v>9.0245454694999854</v>
      </c>
      <c r="D3">
        <f t="shared" ref="D3:D66" si="0">B3*C3</f>
        <v>0</v>
      </c>
    </row>
    <row r="4" spans="1:4" x14ac:dyDescent="0.35">
      <c r="A4" t="s">
        <v>240</v>
      </c>
      <c r="B4" s="1">
        <v>0</v>
      </c>
      <c r="C4">
        <v>0</v>
      </c>
      <c r="D4">
        <f t="shared" si="0"/>
        <v>0</v>
      </c>
    </row>
    <row r="5" spans="1:4" x14ac:dyDescent="0.35">
      <c r="A5" t="s">
        <v>241</v>
      </c>
      <c r="B5" s="1">
        <v>0</v>
      </c>
      <c r="C5">
        <v>3.6910860499999996E-2</v>
      </c>
      <c r="D5">
        <f t="shared" si="0"/>
        <v>0</v>
      </c>
    </row>
    <row r="6" spans="1:4" x14ac:dyDescent="0.35">
      <c r="A6" t="s">
        <v>242</v>
      </c>
      <c r="B6" s="1">
        <v>0</v>
      </c>
      <c r="C6">
        <v>0</v>
      </c>
      <c r="D6">
        <f t="shared" si="0"/>
        <v>0</v>
      </c>
    </row>
    <row r="7" spans="1:4" x14ac:dyDescent="0.35">
      <c r="A7" t="s">
        <v>243</v>
      </c>
      <c r="B7" s="1">
        <v>0</v>
      </c>
      <c r="C7">
        <v>0</v>
      </c>
      <c r="D7">
        <f t="shared" si="0"/>
        <v>0</v>
      </c>
    </row>
    <row r="8" spans="1:4" x14ac:dyDescent="0.35">
      <c r="A8" t="s">
        <v>244</v>
      </c>
      <c r="B8" s="1">
        <v>0</v>
      </c>
      <c r="C8">
        <v>19.520911069900031</v>
      </c>
      <c r="D8">
        <f t="shared" si="0"/>
        <v>0</v>
      </c>
    </row>
    <row r="9" spans="1:4" x14ac:dyDescent="0.35">
      <c r="A9" t="s">
        <v>245</v>
      </c>
      <c r="B9" s="1">
        <v>0</v>
      </c>
      <c r="C9">
        <v>4.6267013902999876</v>
      </c>
      <c r="D9">
        <f t="shared" si="0"/>
        <v>0</v>
      </c>
    </row>
    <row r="10" spans="1:4" x14ac:dyDescent="0.35">
      <c r="A10" t="s">
        <v>246</v>
      </c>
      <c r="B10" s="1">
        <v>0</v>
      </c>
      <c r="C10">
        <v>2.2589102651999937</v>
      </c>
      <c r="D10">
        <f t="shared" si="0"/>
        <v>0</v>
      </c>
    </row>
    <row r="11" spans="1:4" x14ac:dyDescent="0.35">
      <c r="A11" t="s">
        <v>247</v>
      </c>
      <c r="B11" s="1">
        <v>0</v>
      </c>
      <c r="C11">
        <v>0</v>
      </c>
      <c r="D11">
        <f t="shared" si="0"/>
        <v>0</v>
      </c>
    </row>
    <row r="12" spans="1:4" x14ac:dyDescent="0.35">
      <c r="A12" t="s">
        <v>248</v>
      </c>
      <c r="B12" s="1">
        <v>0</v>
      </c>
      <c r="C12">
        <v>0</v>
      </c>
      <c r="D12">
        <f t="shared" si="0"/>
        <v>0</v>
      </c>
    </row>
    <row r="13" spans="1:4" x14ac:dyDescent="0.35">
      <c r="A13" t="s">
        <v>249</v>
      </c>
      <c r="B13" s="1">
        <v>0</v>
      </c>
      <c r="C13">
        <v>5.346236000400002</v>
      </c>
      <c r="D13">
        <f t="shared" si="0"/>
        <v>0</v>
      </c>
    </row>
    <row r="14" spans="1:4" x14ac:dyDescent="0.35">
      <c r="A14" t="s">
        <v>250</v>
      </c>
      <c r="B14" s="1">
        <v>0</v>
      </c>
      <c r="C14">
        <v>0</v>
      </c>
      <c r="D14">
        <f t="shared" si="0"/>
        <v>0</v>
      </c>
    </row>
    <row r="15" spans="1:4" x14ac:dyDescent="0.35">
      <c r="A15" t="s">
        <v>251</v>
      </c>
      <c r="B15" s="1">
        <v>0</v>
      </c>
      <c r="C15">
        <v>0</v>
      </c>
      <c r="D15">
        <f t="shared" si="0"/>
        <v>0</v>
      </c>
    </row>
    <row r="16" spans="1:4" x14ac:dyDescent="0.35">
      <c r="A16" t="s">
        <v>252</v>
      </c>
      <c r="B16" s="1">
        <v>0</v>
      </c>
      <c r="C16">
        <v>1.2410002919997192</v>
      </c>
      <c r="D16">
        <f t="shared" si="0"/>
        <v>0</v>
      </c>
    </row>
    <row r="17" spans="1:4" x14ac:dyDescent="0.35">
      <c r="A17" t="s">
        <v>253</v>
      </c>
      <c r="B17" s="1">
        <v>0</v>
      </c>
      <c r="C17">
        <v>0.37846731150000495</v>
      </c>
      <c r="D17">
        <f t="shared" si="0"/>
        <v>0</v>
      </c>
    </row>
    <row r="18" spans="1:4" x14ac:dyDescent="0.35">
      <c r="A18" t="s">
        <v>254</v>
      </c>
      <c r="B18" s="1">
        <v>0</v>
      </c>
      <c r="C18">
        <v>0</v>
      </c>
      <c r="D18">
        <f t="shared" si="0"/>
        <v>0</v>
      </c>
    </row>
    <row r="19" spans="1:4" x14ac:dyDescent="0.35">
      <c r="A19" t="s">
        <v>255</v>
      </c>
      <c r="B19" s="1">
        <v>0</v>
      </c>
      <c r="C19">
        <v>0</v>
      </c>
      <c r="D19">
        <f t="shared" si="0"/>
        <v>0</v>
      </c>
    </row>
    <row r="20" spans="1:4" x14ac:dyDescent="0.35">
      <c r="A20" t="s">
        <v>256</v>
      </c>
      <c r="B20" s="1">
        <v>0</v>
      </c>
      <c r="C20">
        <v>0</v>
      </c>
      <c r="D20">
        <f t="shared" si="0"/>
        <v>0</v>
      </c>
    </row>
    <row r="21" spans="1:4" x14ac:dyDescent="0.35">
      <c r="A21" t="s">
        <v>257</v>
      </c>
      <c r="B21" s="1">
        <v>0</v>
      </c>
      <c r="C21">
        <v>0</v>
      </c>
      <c r="D21">
        <f t="shared" si="0"/>
        <v>0</v>
      </c>
    </row>
    <row r="22" spans="1:4" x14ac:dyDescent="0.35">
      <c r="A22" t="s">
        <v>258</v>
      </c>
      <c r="B22" s="1">
        <v>0</v>
      </c>
      <c r="C22">
        <v>0</v>
      </c>
      <c r="D22">
        <f t="shared" si="0"/>
        <v>0</v>
      </c>
    </row>
    <row r="23" spans="1:4" x14ac:dyDescent="0.35">
      <c r="A23" t="s">
        <v>259</v>
      </c>
      <c r="B23" s="1">
        <v>0</v>
      </c>
      <c r="C23">
        <v>0</v>
      </c>
      <c r="D23">
        <f t="shared" si="0"/>
        <v>0</v>
      </c>
    </row>
    <row r="24" spans="1:4" x14ac:dyDescent="0.35">
      <c r="A24" t="s">
        <v>260</v>
      </c>
      <c r="B24" s="1">
        <v>0</v>
      </c>
      <c r="C24">
        <v>7.0355807899998915E-2</v>
      </c>
      <c r="D24">
        <f t="shared" si="0"/>
        <v>0</v>
      </c>
    </row>
    <row r="25" spans="1:4" x14ac:dyDescent="0.35">
      <c r="A25" t="s">
        <v>261</v>
      </c>
      <c r="B25" s="1">
        <v>0</v>
      </c>
      <c r="C25">
        <v>0.85000032000005221</v>
      </c>
      <c r="D25">
        <f t="shared" si="0"/>
        <v>0</v>
      </c>
    </row>
    <row r="26" spans="1:4" x14ac:dyDescent="0.35">
      <c r="A26" t="s">
        <v>262</v>
      </c>
      <c r="B26" s="1">
        <v>0</v>
      </c>
      <c r="C26">
        <v>0.510295040199917</v>
      </c>
      <c r="D26">
        <f t="shared" si="0"/>
        <v>0</v>
      </c>
    </row>
    <row r="27" spans="1:4" x14ac:dyDescent="0.35">
      <c r="A27" t="s">
        <v>263</v>
      </c>
      <c r="B27" s="1">
        <v>0</v>
      </c>
      <c r="C27">
        <v>0</v>
      </c>
      <c r="D27">
        <f t="shared" si="0"/>
        <v>0</v>
      </c>
    </row>
    <row r="28" spans="1:4" x14ac:dyDescent="0.35">
      <c r="A28" t="s">
        <v>264</v>
      </c>
      <c r="B28" s="1">
        <v>0</v>
      </c>
      <c r="C28">
        <v>2.0918559382001303</v>
      </c>
      <c r="D28">
        <f t="shared" si="0"/>
        <v>0</v>
      </c>
    </row>
    <row r="29" spans="1:4" x14ac:dyDescent="0.35">
      <c r="A29" t="s">
        <v>265</v>
      </c>
      <c r="B29" s="1">
        <v>0</v>
      </c>
      <c r="C29">
        <v>0</v>
      </c>
      <c r="D29">
        <f t="shared" si="0"/>
        <v>0</v>
      </c>
    </row>
    <row r="30" spans="1:4" x14ac:dyDescent="0.35">
      <c r="A30" t="s">
        <v>266</v>
      </c>
      <c r="B30" s="1">
        <v>0</v>
      </c>
      <c r="C30">
        <v>0</v>
      </c>
      <c r="D30">
        <f t="shared" si="0"/>
        <v>0</v>
      </c>
    </row>
    <row r="31" spans="1:4" x14ac:dyDescent="0.35">
      <c r="A31" t="s">
        <v>267</v>
      </c>
      <c r="B31" s="1">
        <v>0</v>
      </c>
      <c r="C31">
        <v>0</v>
      </c>
      <c r="D31">
        <f t="shared" si="0"/>
        <v>0</v>
      </c>
    </row>
    <row r="32" spans="1:4" x14ac:dyDescent="0.35">
      <c r="A32" t="s">
        <v>268</v>
      </c>
      <c r="B32" s="1">
        <v>0</v>
      </c>
      <c r="C32">
        <v>0</v>
      </c>
      <c r="D32">
        <f t="shared" si="0"/>
        <v>0</v>
      </c>
    </row>
    <row r="33" spans="1:4" x14ac:dyDescent="0.35">
      <c r="A33" t="s">
        <v>269</v>
      </c>
      <c r="B33" s="1">
        <v>0</v>
      </c>
      <c r="C33">
        <v>0</v>
      </c>
      <c r="D33">
        <f t="shared" si="0"/>
        <v>0</v>
      </c>
    </row>
    <row r="34" spans="1:4" x14ac:dyDescent="0.35">
      <c r="A34" t="s">
        <v>270</v>
      </c>
      <c r="B34" s="1">
        <v>0</v>
      </c>
      <c r="C34">
        <v>0</v>
      </c>
      <c r="D34">
        <f t="shared" si="0"/>
        <v>0</v>
      </c>
    </row>
    <row r="35" spans="1:4" x14ac:dyDescent="0.35">
      <c r="A35" t="s">
        <v>271</v>
      </c>
      <c r="B35" s="1">
        <v>0</v>
      </c>
      <c r="C35">
        <v>0</v>
      </c>
      <c r="D35">
        <f t="shared" si="0"/>
        <v>0</v>
      </c>
    </row>
    <row r="36" spans="1:4" x14ac:dyDescent="0.35">
      <c r="A36" t="s">
        <v>272</v>
      </c>
      <c r="B36" s="1">
        <v>0</v>
      </c>
      <c r="C36">
        <v>0.6996908770000001</v>
      </c>
      <c r="D36">
        <f t="shared" si="0"/>
        <v>0</v>
      </c>
    </row>
    <row r="37" spans="1:4" x14ac:dyDescent="0.35">
      <c r="A37" t="s">
        <v>273</v>
      </c>
      <c r="B37" s="1">
        <v>0</v>
      </c>
      <c r="C37">
        <v>2.7637898206999982</v>
      </c>
      <c r="D37">
        <f t="shared" si="0"/>
        <v>0</v>
      </c>
    </row>
    <row r="38" spans="1:4" x14ac:dyDescent="0.35">
      <c r="A38" t="s">
        <v>274</v>
      </c>
      <c r="B38" s="1">
        <v>0</v>
      </c>
      <c r="C38">
        <v>3.4080066326000029</v>
      </c>
      <c r="D38">
        <f t="shared" si="0"/>
        <v>0</v>
      </c>
    </row>
    <row r="39" spans="1:4" x14ac:dyDescent="0.35">
      <c r="A39" t="s">
        <v>275</v>
      </c>
      <c r="B39" s="1">
        <v>0</v>
      </c>
      <c r="C39">
        <v>0</v>
      </c>
      <c r="D39">
        <f t="shared" si="0"/>
        <v>0</v>
      </c>
    </row>
    <row r="40" spans="1:4" x14ac:dyDescent="0.35">
      <c r="A40" t="s">
        <v>276</v>
      </c>
      <c r="B40" s="1">
        <v>0</v>
      </c>
      <c r="C40">
        <v>0</v>
      </c>
      <c r="D40">
        <f t="shared" si="0"/>
        <v>0</v>
      </c>
    </row>
    <row r="41" spans="1:4" x14ac:dyDescent="0.35">
      <c r="A41" t="s">
        <v>277</v>
      </c>
      <c r="B41" s="1">
        <v>0</v>
      </c>
      <c r="C41">
        <v>0</v>
      </c>
      <c r="D41">
        <f t="shared" si="0"/>
        <v>0</v>
      </c>
    </row>
    <row r="42" spans="1:4" x14ac:dyDescent="0.35">
      <c r="A42" t="s">
        <v>278</v>
      </c>
      <c r="B42" s="1">
        <v>0</v>
      </c>
      <c r="C42">
        <v>0</v>
      </c>
      <c r="D42">
        <f t="shared" si="0"/>
        <v>0</v>
      </c>
    </row>
    <row r="43" spans="1:4" x14ac:dyDescent="0.35">
      <c r="A43" t="s">
        <v>279</v>
      </c>
      <c r="B43" s="1">
        <v>0</v>
      </c>
      <c r="C43">
        <v>0</v>
      </c>
      <c r="D43">
        <f t="shared" si="0"/>
        <v>0</v>
      </c>
    </row>
    <row r="44" spans="1:4" x14ac:dyDescent="0.35">
      <c r="A44" t="s">
        <v>228</v>
      </c>
      <c r="B44" s="1">
        <v>0</v>
      </c>
      <c r="C44">
        <v>0</v>
      </c>
      <c r="D44">
        <f t="shared" si="0"/>
        <v>0</v>
      </c>
    </row>
    <row r="45" spans="1:4" x14ac:dyDescent="0.35">
      <c r="A45" t="s">
        <v>280</v>
      </c>
      <c r="B45" s="1">
        <v>0</v>
      </c>
      <c r="C45">
        <v>0</v>
      </c>
      <c r="D45">
        <f t="shared" si="0"/>
        <v>0</v>
      </c>
    </row>
    <row r="46" spans="1:4" x14ac:dyDescent="0.35">
      <c r="A46" t="s">
        <v>281</v>
      </c>
      <c r="B46" s="1">
        <v>0</v>
      </c>
      <c r="C46">
        <v>0</v>
      </c>
      <c r="D46">
        <f t="shared" si="0"/>
        <v>0</v>
      </c>
    </row>
    <row r="47" spans="1:4" x14ac:dyDescent="0.35">
      <c r="A47" t="s">
        <v>282</v>
      </c>
      <c r="B47" s="1">
        <v>0</v>
      </c>
      <c r="C47">
        <v>0</v>
      </c>
      <c r="D47">
        <f t="shared" si="0"/>
        <v>0</v>
      </c>
    </row>
    <row r="48" spans="1:4" x14ac:dyDescent="0.35">
      <c r="A48" t="s">
        <v>283</v>
      </c>
      <c r="B48" s="1">
        <v>0</v>
      </c>
      <c r="C48">
        <v>7.5581986541999964</v>
      </c>
      <c r="D48">
        <f t="shared" si="0"/>
        <v>0</v>
      </c>
    </row>
    <row r="49" spans="1:4" x14ac:dyDescent="0.35">
      <c r="A49" t="s">
        <v>284</v>
      </c>
      <c r="B49" s="1">
        <v>0</v>
      </c>
      <c r="C49">
        <v>0</v>
      </c>
      <c r="D49">
        <f t="shared" si="0"/>
        <v>0</v>
      </c>
    </row>
    <row r="50" spans="1:4" x14ac:dyDescent="0.35">
      <c r="A50" t="s">
        <v>285</v>
      </c>
      <c r="B50" s="1">
        <v>0</v>
      </c>
      <c r="C50">
        <v>23.57011762980002</v>
      </c>
      <c r="D50">
        <f t="shared" si="0"/>
        <v>0</v>
      </c>
    </row>
    <row r="51" spans="1:4" x14ac:dyDescent="0.35">
      <c r="A51" t="s">
        <v>286</v>
      </c>
      <c r="B51" s="1">
        <v>0</v>
      </c>
      <c r="C51">
        <v>0</v>
      </c>
      <c r="D51">
        <f t="shared" si="0"/>
        <v>0</v>
      </c>
    </row>
    <row r="52" spans="1:4" x14ac:dyDescent="0.35">
      <c r="A52" t="s">
        <v>287</v>
      </c>
      <c r="B52" s="1">
        <v>0</v>
      </c>
      <c r="C52">
        <v>3.2098976244000008</v>
      </c>
      <c r="D52">
        <f t="shared" si="0"/>
        <v>0</v>
      </c>
    </row>
    <row r="53" spans="1:4" x14ac:dyDescent="0.35">
      <c r="A53" t="s">
        <v>288</v>
      </c>
      <c r="B53" s="1">
        <v>0</v>
      </c>
      <c r="C53">
        <v>0</v>
      </c>
      <c r="D53">
        <f t="shared" si="0"/>
        <v>0</v>
      </c>
    </row>
    <row r="54" spans="1:4" x14ac:dyDescent="0.35">
      <c r="A54" t="s">
        <v>289</v>
      </c>
      <c r="B54" s="1">
        <v>0</v>
      </c>
      <c r="C54">
        <v>3.6446896392000001</v>
      </c>
      <c r="D54">
        <f t="shared" si="0"/>
        <v>0</v>
      </c>
    </row>
    <row r="55" spans="1:4" x14ac:dyDescent="0.35">
      <c r="A55" t="s">
        <v>290</v>
      </c>
      <c r="B55" s="1">
        <v>0</v>
      </c>
      <c r="C55">
        <v>0</v>
      </c>
      <c r="D55">
        <f t="shared" si="0"/>
        <v>0</v>
      </c>
    </row>
    <row r="56" spans="1:4" x14ac:dyDescent="0.35">
      <c r="A56" t="s">
        <v>291</v>
      </c>
      <c r="B56" s="1">
        <v>0</v>
      </c>
      <c r="C56">
        <v>4.0816036189000018</v>
      </c>
      <c r="D56">
        <f t="shared" si="0"/>
        <v>0</v>
      </c>
    </row>
    <row r="57" spans="1:4" x14ac:dyDescent="0.35">
      <c r="A57" t="s">
        <v>292</v>
      </c>
      <c r="B57" s="1">
        <v>0</v>
      </c>
      <c r="C57">
        <v>0</v>
      </c>
      <c r="D57">
        <f t="shared" si="0"/>
        <v>0</v>
      </c>
    </row>
    <row r="58" spans="1:4" x14ac:dyDescent="0.35">
      <c r="A58" t="s">
        <v>293</v>
      </c>
      <c r="B58" s="1">
        <v>0</v>
      </c>
      <c r="C58">
        <v>0</v>
      </c>
      <c r="D58">
        <f t="shared" si="0"/>
        <v>0</v>
      </c>
    </row>
    <row r="59" spans="1:4" x14ac:dyDescent="0.35">
      <c r="A59" t="s">
        <v>294</v>
      </c>
      <c r="B59" s="1">
        <v>0</v>
      </c>
      <c r="C59">
        <v>0</v>
      </c>
      <c r="D59">
        <f t="shared" si="0"/>
        <v>0</v>
      </c>
    </row>
    <row r="60" spans="1:4" x14ac:dyDescent="0.35">
      <c r="A60" t="s">
        <v>295</v>
      </c>
      <c r="B60" s="1">
        <v>0</v>
      </c>
      <c r="C60">
        <v>0</v>
      </c>
      <c r="D60">
        <f t="shared" si="0"/>
        <v>0</v>
      </c>
    </row>
    <row r="61" spans="1:4" x14ac:dyDescent="0.35">
      <c r="A61" t="s">
        <v>296</v>
      </c>
      <c r="B61" s="1">
        <v>0</v>
      </c>
      <c r="C61">
        <v>0</v>
      </c>
      <c r="D61">
        <f t="shared" si="0"/>
        <v>0</v>
      </c>
    </row>
    <row r="62" spans="1:4" x14ac:dyDescent="0.35">
      <c r="A62" t="s">
        <v>297</v>
      </c>
      <c r="B62" s="1">
        <v>0</v>
      </c>
      <c r="C62">
        <v>18.884558799800022</v>
      </c>
      <c r="D62">
        <f t="shared" si="0"/>
        <v>0</v>
      </c>
    </row>
    <row r="63" spans="1:4" x14ac:dyDescent="0.35">
      <c r="A63" t="s">
        <v>298</v>
      </c>
      <c r="B63" s="1">
        <v>0</v>
      </c>
      <c r="C63">
        <v>3.0827499999999883E-3</v>
      </c>
      <c r="D63">
        <f t="shared" si="0"/>
        <v>0</v>
      </c>
    </row>
    <row r="64" spans="1:4" x14ac:dyDescent="0.35">
      <c r="A64" t="s">
        <v>299</v>
      </c>
      <c r="B64" s="1">
        <v>0</v>
      </c>
      <c r="C64">
        <v>0</v>
      </c>
      <c r="D64">
        <f t="shared" si="0"/>
        <v>0</v>
      </c>
    </row>
    <row r="65" spans="1:4" x14ac:dyDescent="0.35">
      <c r="A65" t="s">
        <v>300</v>
      </c>
      <c r="B65" s="1">
        <v>0</v>
      </c>
      <c r="C65">
        <v>0</v>
      </c>
      <c r="D65">
        <f t="shared" si="0"/>
        <v>0</v>
      </c>
    </row>
    <row r="66" spans="1:4" x14ac:dyDescent="0.35">
      <c r="A66" t="s">
        <v>301</v>
      </c>
      <c r="B66" s="1">
        <v>0</v>
      </c>
      <c r="C66">
        <v>0</v>
      </c>
      <c r="D66">
        <f t="shared" si="0"/>
        <v>0</v>
      </c>
    </row>
    <row r="67" spans="1:4" x14ac:dyDescent="0.35">
      <c r="A67" t="s">
        <v>302</v>
      </c>
      <c r="B67" s="1">
        <v>0</v>
      </c>
      <c r="C67">
        <v>0</v>
      </c>
      <c r="D67">
        <f t="shared" ref="D67:D130" si="1">B67*C67</f>
        <v>0</v>
      </c>
    </row>
    <row r="68" spans="1:4" x14ac:dyDescent="0.35">
      <c r="A68" t="s">
        <v>303</v>
      </c>
      <c r="B68" s="1">
        <v>0</v>
      </c>
      <c r="C68">
        <v>7.6190099999998609E-2</v>
      </c>
      <c r="D68">
        <f t="shared" si="1"/>
        <v>0</v>
      </c>
    </row>
    <row r="69" spans="1:4" x14ac:dyDescent="0.35">
      <c r="A69" t="s">
        <v>304</v>
      </c>
      <c r="B69" s="1">
        <v>0</v>
      </c>
      <c r="C69">
        <v>2.9807541615001991</v>
      </c>
      <c r="D69">
        <f t="shared" si="1"/>
        <v>0</v>
      </c>
    </row>
    <row r="70" spans="1:4" x14ac:dyDescent="0.35">
      <c r="A70" t="s">
        <v>305</v>
      </c>
      <c r="B70" s="1">
        <v>0</v>
      </c>
      <c r="C70">
        <v>0</v>
      </c>
      <c r="D70">
        <f t="shared" si="1"/>
        <v>0</v>
      </c>
    </row>
    <row r="71" spans="1:4" x14ac:dyDescent="0.35">
      <c r="A71" t="s">
        <v>306</v>
      </c>
      <c r="B71" s="1">
        <v>0</v>
      </c>
      <c r="C71">
        <v>0</v>
      </c>
      <c r="D71">
        <f t="shared" si="1"/>
        <v>0</v>
      </c>
    </row>
    <row r="72" spans="1:4" x14ac:dyDescent="0.35">
      <c r="A72" t="s">
        <v>307</v>
      </c>
      <c r="B72" s="1">
        <v>0</v>
      </c>
      <c r="C72">
        <v>0</v>
      </c>
      <c r="D72">
        <f t="shared" si="1"/>
        <v>0</v>
      </c>
    </row>
    <row r="73" spans="1:4" x14ac:dyDescent="0.35">
      <c r="A73" t="s">
        <v>308</v>
      </c>
      <c r="B73" s="1">
        <v>0</v>
      </c>
      <c r="C73">
        <v>0</v>
      </c>
      <c r="D73">
        <f t="shared" si="1"/>
        <v>0</v>
      </c>
    </row>
    <row r="74" spans="1:4" x14ac:dyDescent="0.35">
      <c r="A74" t="s">
        <v>309</v>
      </c>
      <c r="B74" s="1">
        <v>0</v>
      </c>
      <c r="C74">
        <v>10.280184638200041</v>
      </c>
      <c r="D74">
        <f t="shared" si="1"/>
        <v>0</v>
      </c>
    </row>
    <row r="75" spans="1:4" x14ac:dyDescent="0.35">
      <c r="A75" t="s">
        <v>310</v>
      </c>
      <c r="B75" s="1">
        <v>0</v>
      </c>
      <c r="C75">
        <v>0</v>
      </c>
      <c r="D75">
        <f t="shared" si="1"/>
        <v>0</v>
      </c>
    </row>
    <row r="76" spans="1:4" x14ac:dyDescent="0.35">
      <c r="A76" t="s">
        <v>311</v>
      </c>
      <c r="B76" s="1">
        <v>0</v>
      </c>
      <c r="C76">
        <v>0</v>
      </c>
      <c r="D76">
        <f t="shared" si="1"/>
        <v>0</v>
      </c>
    </row>
    <row r="77" spans="1:4" x14ac:dyDescent="0.35">
      <c r="A77" t="s">
        <v>312</v>
      </c>
      <c r="B77" s="1">
        <v>0</v>
      </c>
      <c r="C77">
        <v>0</v>
      </c>
      <c r="D77">
        <f t="shared" si="1"/>
        <v>0</v>
      </c>
    </row>
    <row r="78" spans="1:4" x14ac:dyDescent="0.35">
      <c r="A78" t="s">
        <v>313</v>
      </c>
      <c r="B78" s="1">
        <v>0</v>
      </c>
      <c r="C78">
        <v>0</v>
      </c>
      <c r="D78">
        <f t="shared" si="1"/>
        <v>0</v>
      </c>
    </row>
    <row r="79" spans="1:4" x14ac:dyDescent="0.35">
      <c r="A79" t="s">
        <v>314</v>
      </c>
      <c r="B79" s="1">
        <v>0</v>
      </c>
      <c r="C79">
        <v>0.15951849939999987</v>
      </c>
      <c r="D79">
        <f t="shared" si="1"/>
        <v>0</v>
      </c>
    </row>
    <row r="80" spans="1:4" x14ac:dyDescent="0.35">
      <c r="A80" t="s">
        <v>315</v>
      </c>
      <c r="B80" s="1">
        <v>0</v>
      </c>
      <c r="C80">
        <v>0</v>
      </c>
      <c r="D80">
        <f t="shared" si="1"/>
        <v>0</v>
      </c>
    </row>
    <row r="81" spans="1:4" x14ac:dyDescent="0.35">
      <c r="A81" t="s">
        <v>316</v>
      </c>
      <c r="B81" s="1">
        <v>0</v>
      </c>
      <c r="C81">
        <v>1.1462917250000026</v>
      </c>
      <c r="D81">
        <f t="shared" si="1"/>
        <v>0</v>
      </c>
    </row>
    <row r="82" spans="1:4" x14ac:dyDescent="0.35">
      <c r="A82" t="s">
        <v>317</v>
      </c>
      <c r="B82" s="1">
        <v>0</v>
      </c>
      <c r="C82">
        <v>0</v>
      </c>
      <c r="D82">
        <f t="shared" si="1"/>
        <v>0</v>
      </c>
    </row>
    <row r="83" spans="1:4" x14ac:dyDescent="0.35">
      <c r="A83" t="s">
        <v>318</v>
      </c>
      <c r="B83" s="1">
        <v>0</v>
      </c>
      <c r="C83">
        <v>0</v>
      </c>
      <c r="D83">
        <f t="shared" si="1"/>
        <v>0</v>
      </c>
    </row>
    <row r="84" spans="1:4" x14ac:dyDescent="0.35">
      <c r="A84" t="s">
        <v>319</v>
      </c>
      <c r="B84" s="1">
        <v>0</v>
      </c>
      <c r="C84">
        <v>0</v>
      </c>
      <c r="D84">
        <f t="shared" si="1"/>
        <v>0</v>
      </c>
    </row>
    <row r="85" spans="1:4" x14ac:dyDescent="0.35">
      <c r="A85" t="s">
        <v>320</v>
      </c>
      <c r="B85" s="1">
        <v>0</v>
      </c>
      <c r="C85">
        <v>0</v>
      </c>
      <c r="D85">
        <f t="shared" si="1"/>
        <v>0</v>
      </c>
    </row>
    <row r="86" spans="1:4" x14ac:dyDescent="0.35">
      <c r="A86" t="s">
        <v>321</v>
      </c>
      <c r="B86" s="1">
        <v>0</v>
      </c>
      <c r="C86">
        <v>0</v>
      </c>
      <c r="D86">
        <f t="shared" si="1"/>
        <v>0</v>
      </c>
    </row>
    <row r="87" spans="1:4" x14ac:dyDescent="0.35">
      <c r="A87" t="s">
        <v>322</v>
      </c>
      <c r="B87" s="1">
        <v>0</v>
      </c>
      <c r="C87">
        <v>0</v>
      </c>
      <c r="D87">
        <f t="shared" si="1"/>
        <v>0</v>
      </c>
    </row>
    <row r="88" spans="1:4" x14ac:dyDescent="0.35">
      <c r="A88" t="s">
        <v>323</v>
      </c>
      <c r="B88" s="1">
        <v>0</v>
      </c>
      <c r="C88">
        <v>26.322336438499949</v>
      </c>
      <c r="D88">
        <f t="shared" si="1"/>
        <v>0</v>
      </c>
    </row>
    <row r="89" spans="1:4" x14ac:dyDescent="0.35">
      <c r="A89" t="s">
        <v>324</v>
      </c>
      <c r="B89" s="1">
        <v>0</v>
      </c>
      <c r="C89">
        <v>51.8737903134002</v>
      </c>
      <c r="D89">
        <f t="shared" si="1"/>
        <v>0</v>
      </c>
    </row>
    <row r="90" spans="1:4" x14ac:dyDescent="0.35">
      <c r="A90" t="s">
        <v>325</v>
      </c>
      <c r="B90" s="1">
        <v>0</v>
      </c>
      <c r="C90">
        <v>0</v>
      </c>
      <c r="D90">
        <f t="shared" si="1"/>
        <v>0</v>
      </c>
    </row>
    <row r="91" spans="1:4" x14ac:dyDescent="0.35">
      <c r="A91" t="s">
        <v>326</v>
      </c>
      <c r="B91" s="1">
        <v>0</v>
      </c>
      <c r="C91">
        <v>0</v>
      </c>
      <c r="D91">
        <f t="shared" si="1"/>
        <v>0</v>
      </c>
    </row>
    <row r="92" spans="1:4" x14ac:dyDescent="0.35">
      <c r="A92" t="s">
        <v>327</v>
      </c>
      <c r="B92" s="1">
        <v>0</v>
      </c>
      <c r="C92">
        <v>2.091877300000004E-2</v>
      </c>
      <c r="D92">
        <f t="shared" si="1"/>
        <v>0</v>
      </c>
    </row>
    <row r="93" spans="1:4" x14ac:dyDescent="0.35">
      <c r="A93" t="s">
        <v>328</v>
      </c>
      <c r="B93" s="1">
        <v>0</v>
      </c>
      <c r="C93">
        <v>0.23250003600001573</v>
      </c>
      <c r="D93">
        <f t="shared" si="1"/>
        <v>0</v>
      </c>
    </row>
    <row r="94" spans="1:4" x14ac:dyDescent="0.35">
      <c r="A94" t="s">
        <v>329</v>
      </c>
      <c r="B94" s="1">
        <v>0</v>
      </c>
      <c r="C94">
        <v>0</v>
      </c>
      <c r="D94">
        <f t="shared" si="1"/>
        <v>0</v>
      </c>
    </row>
    <row r="95" spans="1:4" x14ac:dyDescent="0.35">
      <c r="A95" t="s">
        <v>330</v>
      </c>
      <c r="B95" s="1">
        <v>0</v>
      </c>
      <c r="C95">
        <v>0.67591895710000094</v>
      </c>
      <c r="D95">
        <f t="shared" si="1"/>
        <v>0</v>
      </c>
    </row>
    <row r="96" spans="1:4" x14ac:dyDescent="0.35">
      <c r="A96" t="s">
        <v>331</v>
      </c>
      <c r="B96" s="1">
        <v>0</v>
      </c>
      <c r="C96">
        <v>23.498860127499903</v>
      </c>
      <c r="D96">
        <f t="shared" si="1"/>
        <v>0</v>
      </c>
    </row>
    <row r="97" spans="1:4" x14ac:dyDescent="0.35">
      <c r="A97" t="s">
        <v>332</v>
      </c>
      <c r="B97" s="1">
        <v>0</v>
      </c>
      <c r="C97">
        <v>0</v>
      </c>
      <c r="D97">
        <f t="shared" si="1"/>
        <v>0</v>
      </c>
    </row>
    <row r="98" spans="1:4" x14ac:dyDescent="0.35">
      <c r="A98" t="s">
        <v>333</v>
      </c>
      <c r="B98" s="1">
        <v>0</v>
      </c>
      <c r="C98">
        <v>0</v>
      </c>
      <c r="D98">
        <f t="shared" si="1"/>
        <v>0</v>
      </c>
    </row>
    <row r="99" spans="1:4" x14ac:dyDescent="0.35">
      <c r="A99" t="s">
        <v>334</v>
      </c>
      <c r="B99" s="1">
        <v>0</v>
      </c>
      <c r="C99">
        <v>0</v>
      </c>
      <c r="D99">
        <f t="shared" si="1"/>
        <v>0</v>
      </c>
    </row>
    <row r="100" spans="1:4" x14ac:dyDescent="0.35">
      <c r="A100" t="s">
        <v>335</v>
      </c>
      <c r="B100" s="1">
        <v>0</v>
      </c>
      <c r="C100">
        <v>0</v>
      </c>
      <c r="D100">
        <f t="shared" si="1"/>
        <v>0</v>
      </c>
    </row>
    <row r="101" spans="1:4" x14ac:dyDescent="0.35">
      <c r="A101" t="s">
        <v>336</v>
      </c>
      <c r="B101" s="1">
        <v>0</v>
      </c>
      <c r="C101">
        <v>0</v>
      </c>
      <c r="D101">
        <f t="shared" si="1"/>
        <v>0</v>
      </c>
    </row>
    <row r="102" spans="1:4" x14ac:dyDescent="0.35">
      <c r="A102" t="s">
        <v>337</v>
      </c>
      <c r="B102" s="1">
        <v>0</v>
      </c>
      <c r="C102">
        <v>0</v>
      </c>
      <c r="D102">
        <f t="shared" si="1"/>
        <v>0</v>
      </c>
    </row>
    <row r="103" spans="1:4" x14ac:dyDescent="0.35">
      <c r="A103" t="s">
        <v>338</v>
      </c>
      <c r="B103" s="1">
        <v>0</v>
      </c>
      <c r="C103">
        <v>0</v>
      </c>
      <c r="D103">
        <f t="shared" si="1"/>
        <v>0</v>
      </c>
    </row>
    <row r="104" spans="1:4" x14ac:dyDescent="0.35">
      <c r="A104" t="s">
        <v>339</v>
      </c>
      <c r="B104" s="1">
        <v>0</v>
      </c>
      <c r="C104">
        <v>0</v>
      </c>
      <c r="D104">
        <f t="shared" si="1"/>
        <v>0</v>
      </c>
    </row>
    <row r="105" spans="1:4" x14ac:dyDescent="0.35">
      <c r="A105" t="s">
        <v>340</v>
      </c>
      <c r="B105" s="1">
        <v>0</v>
      </c>
      <c r="C105">
        <v>0</v>
      </c>
      <c r="D105">
        <f t="shared" si="1"/>
        <v>0</v>
      </c>
    </row>
    <row r="106" spans="1:4" x14ac:dyDescent="0.35">
      <c r="A106" t="s">
        <v>341</v>
      </c>
      <c r="B106" s="1">
        <v>0</v>
      </c>
      <c r="C106">
        <v>3.5696276513003125</v>
      </c>
      <c r="D106">
        <f t="shared" si="1"/>
        <v>0</v>
      </c>
    </row>
    <row r="107" spans="1:4" x14ac:dyDescent="0.35">
      <c r="A107" t="s">
        <v>342</v>
      </c>
      <c r="B107" s="1">
        <v>0</v>
      </c>
      <c r="C107">
        <v>0</v>
      </c>
      <c r="D107">
        <f t="shared" si="1"/>
        <v>0</v>
      </c>
    </row>
    <row r="108" spans="1:4" x14ac:dyDescent="0.35">
      <c r="A108" t="s">
        <v>343</v>
      </c>
      <c r="B108" s="1">
        <v>0</v>
      </c>
      <c r="C108">
        <v>0</v>
      </c>
      <c r="D108">
        <f t="shared" si="1"/>
        <v>0</v>
      </c>
    </row>
    <row r="109" spans="1:4" x14ac:dyDescent="0.35">
      <c r="A109" t="s">
        <v>344</v>
      </c>
      <c r="B109" s="1">
        <v>0</v>
      </c>
      <c r="C109">
        <v>0</v>
      </c>
      <c r="D109">
        <f t="shared" si="1"/>
        <v>0</v>
      </c>
    </row>
    <row r="110" spans="1:4" x14ac:dyDescent="0.35">
      <c r="A110" t="s">
        <v>345</v>
      </c>
      <c r="B110" s="1">
        <v>0</v>
      </c>
      <c r="C110">
        <v>2.6520427000000069E-2</v>
      </c>
      <c r="D110">
        <f t="shared" si="1"/>
        <v>0</v>
      </c>
    </row>
    <row r="111" spans="1:4" x14ac:dyDescent="0.35">
      <c r="A111" t="s">
        <v>346</v>
      </c>
      <c r="B111" s="1">
        <v>0</v>
      </c>
      <c r="C111">
        <v>0</v>
      </c>
      <c r="D111">
        <f t="shared" si="1"/>
        <v>0</v>
      </c>
    </row>
    <row r="112" spans="1:4" x14ac:dyDescent="0.35">
      <c r="A112" t="s">
        <v>347</v>
      </c>
      <c r="B112" s="1">
        <v>0</v>
      </c>
      <c r="C112">
        <v>6.4990498999999924E-2</v>
      </c>
      <c r="D112">
        <f t="shared" si="1"/>
        <v>0</v>
      </c>
    </row>
    <row r="113" spans="1:8" x14ac:dyDescent="0.35">
      <c r="A113" t="s">
        <v>348</v>
      </c>
      <c r="B113" s="1">
        <v>0</v>
      </c>
      <c r="C113">
        <v>6.5073645100000188E-2</v>
      </c>
      <c r="D113">
        <f t="shared" si="1"/>
        <v>0</v>
      </c>
    </row>
    <row r="114" spans="1:8" x14ac:dyDescent="0.35">
      <c r="A114" t="s">
        <v>349</v>
      </c>
      <c r="B114" s="1">
        <v>0</v>
      </c>
      <c r="C114">
        <v>0</v>
      </c>
      <c r="D114">
        <f t="shared" si="1"/>
        <v>0</v>
      </c>
    </row>
    <row r="115" spans="1:8" x14ac:dyDescent="0.35">
      <c r="A115" t="s">
        <v>350</v>
      </c>
      <c r="B115" s="1">
        <v>0</v>
      </c>
      <c r="C115">
        <v>0</v>
      </c>
      <c r="D115">
        <f t="shared" si="1"/>
        <v>0</v>
      </c>
    </row>
    <row r="116" spans="1:8" x14ac:dyDescent="0.35">
      <c r="A116" t="s">
        <v>351</v>
      </c>
      <c r="B116" s="1">
        <v>0</v>
      </c>
      <c r="C116">
        <v>0</v>
      </c>
      <c r="D116">
        <f t="shared" si="1"/>
        <v>0</v>
      </c>
    </row>
    <row r="117" spans="1:8" x14ac:dyDescent="0.35">
      <c r="A117" t="s">
        <v>352</v>
      </c>
      <c r="B117" s="1">
        <v>0</v>
      </c>
      <c r="C117">
        <v>0</v>
      </c>
      <c r="D117">
        <f t="shared" si="1"/>
        <v>0</v>
      </c>
    </row>
    <row r="118" spans="1:8" x14ac:dyDescent="0.35">
      <c r="A118" t="s">
        <v>353</v>
      </c>
      <c r="B118" s="1">
        <v>0</v>
      </c>
      <c r="C118">
        <v>0</v>
      </c>
      <c r="D118">
        <f t="shared" si="1"/>
        <v>0</v>
      </c>
    </row>
    <row r="119" spans="1:8" x14ac:dyDescent="0.35">
      <c r="A119" t="s">
        <v>354</v>
      </c>
      <c r="B119" s="1">
        <v>0</v>
      </c>
      <c r="C119">
        <v>0.1231140363000016</v>
      </c>
      <c r="D119">
        <f t="shared" si="1"/>
        <v>0</v>
      </c>
    </row>
    <row r="120" spans="1:8" x14ac:dyDescent="0.35">
      <c r="A120" t="s">
        <v>355</v>
      </c>
      <c r="B120" s="1">
        <v>0</v>
      </c>
      <c r="C120">
        <v>0</v>
      </c>
      <c r="D120">
        <f t="shared" si="1"/>
        <v>0</v>
      </c>
    </row>
    <row r="121" spans="1:8" s="7" customFormat="1" x14ac:dyDescent="0.35">
      <c r="A121" s="7" t="s">
        <v>356</v>
      </c>
      <c r="B121" s="8">
        <v>0</v>
      </c>
      <c r="C121" s="7">
        <v>0</v>
      </c>
      <c r="D121" s="7">
        <f t="shared" si="1"/>
        <v>0</v>
      </c>
    </row>
    <row r="122" spans="1:8" x14ac:dyDescent="0.35">
      <c r="A122" t="s">
        <v>357</v>
      </c>
      <c r="B122" s="1">
        <v>0</v>
      </c>
      <c r="C122">
        <v>0</v>
      </c>
      <c r="D122">
        <f t="shared" si="1"/>
        <v>0</v>
      </c>
    </row>
    <row r="123" spans="1:8" x14ac:dyDescent="0.35">
      <c r="A123" t="s">
        <v>358</v>
      </c>
      <c r="B123" s="1">
        <v>0</v>
      </c>
      <c r="C123">
        <v>0.86703541969999909</v>
      </c>
      <c r="D123">
        <f t="shared" si="1"/>
        <v>0</v>
      </c>
    </row>
    <row r="124" spans="1:8" x14ac:dyDescent="0.35">
      <c r="A124" t="s">
        <v>359</v>
      </c>
      <c r="B124" s="1">
        <v>1</v>
      </c>
      <c r="C124">
        <v>4.6027714299999946E-2</v>
      </c>
      <c r="D124">
        <f t="shared" si="1"/>
        <v>4.6027714299999946E-2</v>
      </c>
    </row>
    <row r="125" spans="1:8" x14ac:dyDescent="0.35">
      <c r="A125" t="s">
        <v>360</v>
      </c>
      <c r="B125" s="1">
        <v>1</v>
      </c>
      <c r="C125">
        <v>0.73644326500000667</v>
      </c>
      <c r="D125">
        <f t="shared" si="1"/>
        <v>0.73644326500000667</v>
      </c>
    </row>
    <row r="126" spans="1:8" x14ac:dyDescent="0.35">
      <c r="A126" t="s">
        <v>361</v>
      </c>
      <c r="B126" s="1">
        <v>1</v>
      </c>
      <c r="C126">
        <v>0.14408673689999854</v>
      </c>
      <c r="D126">
        <f t="shared" si="1"/>
        <v>0.14408673689999854</v>
      </c>
    </row>
    <row r="127" spans="1:8" s="7" customFormat="1" x14ac:dyDescent="0.35">
      <c r="A127" s="7" t="s">
        <v>362</v>
      </c>
      <c r="B127" s="8">
        <v>1</v>
      </c>
      <c r="C127" s="7">
        <v>12.557649209500026</v>
      </c>
      <c r="D127" s="7">
        <f t="shared" si="1"/>
        <v>12.557649209500026</v>
      </c>
      <c r="F127" s="7">
        <f>SUM(C122:C127)</f>
        <v>14.35124234540003</v>
      </c>
      <c r="G127" s="7">
        <f>F127*3.6</f>
        <v>51.664472443440104</v>
      </c>
      <c r="H127" s="9" t="s">
        <v>516</v>
      </c>
    </row>
    <row r="128" spans="1:8" x14ac:dyDescent="0.35">
      <c r="A128" t="s">
        <v>363</v>
      </c>
      <c r="B128" s="1">
        <v>1</v>
      </c>
      <c r="C128">
        <v>14.606328442199917</v>
      </c>
      <c r="D128">
        <f t="shared" si="1"/>
        <v>14.606328442199917</v>
      </c>
    </row>
    <row r="129" spans="1:8" x14ac:dyDescent="0.35">
      <c r="A129" t="s">
        <v>364</v>
      </c>
      <c r="B129" s="1">
        <v>1</v>
      </c>
      <c r="C129">
        <v>3.0814346695005055</v>
      </c>
      <c r="D129">
        <f t="shared" si="1"/>
        <v>3.0814346695005055</v>
      </c>
    </row>
    <row r="130" spans="1:8" x14ac:dyDescent="0.35">
      <c r="A130" t="s">
        <v>365</v>
      </c>
      <c r="B130" s="1">
        <v>1</v>
      </c>
      <c r="C130">
        <v>6.6666830999994001E-2</v>
      </c>
      <c r="D130">
        <f t="shared" si="1"/>
        <v>6.6666830999994001E-2</v>
      </c>
    </row>
    <row r="131" spans="1:8" x14ac:dyDescent="0.35">
      <c r="A131" t="s">
        <v>366</v>
      </c>
      <c r="B131" s="1">
        <v>1</v>
      </c>
      <c r="C131">
        <v>0</v>
      </c>
      <c r="D131">
        <f t="shared" ref="D131:D194" si="2">B131*C131</f>
        <v>0</v>
      </c>
    </row>
    <row r="132" spans="1:8" x14ac:dyDescent="0.35">
      <c r="A132" t="s">
        <v>367</v>
      </c>
      <c r="B132" s="1">
        <v>1</v>
      </c>
      <c r="C132">
        <v>0</v>
      </c>
      <c r="D132">
        <f t="shared" si="2"/>
        <v>0</v>
      </c>
    </row>
    <row r="133" spans="1:8" x14ac:dyDescent="0.35">
      <c r="A133" t="s">
        <v>368</v>
      </c>
      <c r="B133" s="1">
        <v>1</v>
      </c>
      <c r="C133">
        <v>0</v>
      </c>
      <c r="D133">
        <f t="shared" si="2"/>
        <v>0</v>
      </c>
    </row>
    <row r="134" spans="1:8" x14ac:dyDescent="0.35">
      <c r="A134" t="s">
        <v>369</v>
      </c>
      <c r="B134" s="1">
        <v>1</v>
      </c>
      <c r="C134">
        <v>4.0688533724001452</v>
      </c>
      <c r="D134">
        <f t="shared" si="2"/>
        <v>4.0688533724001452</v>
      </c>
    </row>
    <row r="135" spans="1:8" x14ac:dyDescent="0.35">
      <c r="A135" t="s">
        <v>370</v>
      </c>
      <c r="B135" s="1">
        <v>1</v>
      </c>
      <c r="C135">
        <v>1.2715166836999952</v>
      </c>
      <c r="D135">
        <f t="shared" si="2"/>
        <v>1.2715166836999952</v>
      </c>
    </row>
    <row r="136" spans="1:8" x14ac:dyDescent="0.35">
      <c r="A136" t="s">
        <v>371</v>
      </c>
      <c r="B136" s="1">
        <v>1</v>
      </c>
      <c r="C136">
        <v>1.4472141706000263</v>
      </c>
      <c r="D136">
        <f t="shared" si="2"/>
        <v>1.4472141706000263</v>
      </c>
    </row>
    <row r="137" spans="1:8" x14ac:dyDescent="0.35">
      <c r="A137" t="s">
        <v>372</v>
      </c>
      <c r="B137" s="1">
        <v>1</v>
      </c>
      <c r="C137">
        <v>0</v>
      </c>
      <c r="D137">
        <f t="shared" si="2"/>
        <v>0</v>
      </c>
    </row>
    <row r="138" spans="1:8" x14ac:dyDescent="0.35">
      <c r="A138" t="s">
        <v>373</v>
      </c>
      <c r="B138" s="1">
        <v>1</v>
      </c>
      <c r="C138">
        <v>0.90999489269997513</v>
      </c>
      <c r="D138">
        <f t="shared" si="2"/>
        <v>0.90999489269997513</v>
      </c>
    </row>
    <row r="139" spans="1:8" x14ac:dyDescent="0.35">
      <c r="A139" t="s">
        <v>374</v>
      </c>
      <c r="B139" s="1">
        <v>1</v>
      </c>
      <c r="C139">
        <v>0</v>
      </c>
      <c r="D139">
        <f t="shared" si="2"/>
        <v>0</v>
      </c>
    </row>
    <row r="140" spans="1:8" x14ac:dyDescent="0.35">
      <c r="A140" t="s">
        <v>375</v>
      </c>
      <c r="B140" s="1">
        <v>1</v>
      </c>
      <c r="C140">
        <v>0</v>
      </c>
      <c r="D140">
        <f t="shared" si="2"/>
        <v>0</v>
      </c>
    </row>
    <row r="141" spans="1:8" x14ac:dyDescent="0.35">
      <c r="A141" t="s">
        <v>19</v>
      </c>
      <c r="B141" s="1">
        <v>1</v>
      </c>
      <c r="C141">
        <v>1.044654647699981</v>
      </c>
      <c r="D141">
        <f t="shared" si="2"/>
        <v>1.044654647699981</v>
      </c>
    </row>
    <row r="142" spans="1:8" x14ac:dyDescent="0.35">
      <c r="A142" t="s">
        <v>215</v>
      </c>
      <c r="B142" s="1">
        <v>1</v>
      </c>
      <c r="C142">
        <v>0</v>
      </c>
      <c r="D142">
        <f t="shared" si="2"/>
        <v>0</v>
      </c>
    </row>
    <row r="143" spans="1:8" x14ac:dyDescent="0.35">
      <c r="A143" t="s">
        <v>376</v>
      </c>
      <c r="B143" s="1">
        <v>1</v>
      </c>
      <c r="C143">
        <v>0</v>
      </c>
      <c r="D143">
        <f t="shared" si="2"/>
        <v>0</v>
      </c>
    </row>
    <row r="144" spans="1:8" s="7" customFormat="1" x14ac:dyDescent="0.35">
      <c r="A144" s="7" t="s">
        <v>377</v>
      </c>
      <c r="B144" s="8">
        <v>1</v>
      </c>
      <c r="C144" s="7">
        <v>1.168395660000042</v>
      </c>
      <c r="D144" s="7">
        <f t="shared" si="2"/>
        <v>1.168395660000042</v>
      </c>
      <c r="F144" s="7">
        <f>SUM(C128:C144)-C144</f>
        <v>26.496663709800544</v>
      </c>
      <c r="G144" s="7">
        <f>F144*3.6</f>
        <v>95.38798935528196</v>
      </c>
      <c r="H144" s="9" t="s">
        <v>515</v>
      </c>
    </row>
    <row r="145" spans="1:4" x14ac:dyDescent="0.35">
      <c r="A145" s="2" t="s">
        <v>21</v>
      </c>
      <c r="B145" s="1">
        <v>1</v>
      </c>
      <c r="C145">
        <v>0</v>
      </c>
      <c r="D145">
        <f t="shared" si="2"/>
        <v>0</v>
      </c>
    </row>
    <row r="146" spans="1:4" x14ac:dyDescent="0.35">
      <c r="A146" s="2" t="s">
        <v>22</v>
      </c>
      <c r="B146" s="1">
        <v>1</v>
      </c>
      <c r="C146">
        <v>4.4295684599993814</v>
      </c>
      <c r="D146">
        <f t="shared" si="2"/>
        <v>4.4295684599993814</v>
      </c>
    </row>
    <row r="147" spans="1:4" x14ac:dyDescent="0.35">
      <c r="A147" s="2" t="s">
        <v>23</v>
      </c>
      <c r="B147" s="1">
        <v>1</v>
      </c>
      <c r="C147">
        <v>1.9437152279998018</v>
      </c>
      <c r="D147">
        <f t="shared" si="2"/>
        <v>1.9437152279998018</v>
      </c>
    </row>
    <row r="148" spans="1:4" x14ac:dyDescent="0.35">
      <c r="A148" t="s">
        <v>28</v>
      </c>
      <c r="B148" s="1">
        <v>0</v>
      </c>
      <c r="C148">
        <v>4.7536140000007089E-2</v>
      </c>
      <c r="D148">
        <f t="shared" si="2"/>
        <v>0</v>
      </c>
    </row>
    <row r="149" spans="1:4" x14ac:dyDescent="0.35">
      <c r="A149" t="s">
        <v>378</v>
      </c>
      <c r="B149" s="1">
        <v>0</v>
      </c>
      <c r="C149">
        <v>0</v>
      </c>
      <c r="D149">
        <f t="shared" si="2"/>
        <v>0</v>
      </c>
    </row>
    <row r="150" spans="1:4" x14ac:dyDescent="0.35">
      <c r="A150" t="s">
        <v>379</v>
      </c>
      <c r="B150" s="1">
        <v>0</v>
      </c>
      <c r="C150">
        <v>3.6308716512000001</v>
      </c>
      <c r="D150">
        <f t="shared" si="2"/>
        <v>0</v>
      </c>
    </row>
    <row r="151" spans="1:4" x14ac:dyDescent="0.35">
      <c r="A151" t="s">
        <v>380</v>
      </c>
      <c r="B151" s="1">
        <v>0</v>
      </c>
      <c r="C151">
        <v>0.99955839440000038</v>
      </c>
      <c r="D151">
        <f t="shared" si="2"/>
        <v>0</v>
      </c>
    </row>
    <row r="152" spans="1:4" x14ac:dyDescent="0.35">
      <c r="A152" t="s">
        <v>381</v>
      </c>
      <c r="B152" s="1">
        <v>0</v>
      </c>
      <c r="C152">
        <v>3.4547372767000017</v>
      </c>
      <c r="D152">
        <f t="shared" si="2"/>
        <v>0</v>
      </c>
    </row>
    <row r="153" spans="1:4" x14ac:dyDescent="0.35">
      <c r="A153" t="s">
        <v>382</v>
      </c>
      <c r="B153" s="1">
        <v>0</v>
      </c>
      <c r="C153">
        <v>4.0094195678999993</v>
      </c>
      <c r="D153">
        <f t="shared" si="2"/>
        <v>0</v>
      </c>
    </row>
    <row r="154" spans="1:4" x14ac:dyDescent="0.35">
      <c r="A154" t="s">
        <v>383</v>
      </c>
      <c r="B154" s="1">
        <v>0</v>
      </c>
      <c r="C154">
        <v>0</v>
      </c>
      <c r="D154">
        <f t="shared" si="2"/>
        <v>0</v>
      </c>
    </row>
    <row r="155" spans="1:4" x14ac:dyDescent="0.35">
      <c r="A155" t="s">
        <v>384</v>
      </c>
      <c r="B155" s="1">
        <v>0</v>
      </c>
      <c r="C155">
        <v>0</v>
      </c>
      <c r="D155">
        <f t="shared" si="2"/>
        <v>0</v>
      </c>
    </row>
    <row r="156" spans="1:4" x14ac:dyDescent="0.35">
      <c r="A156" t="s">
        <v>385</v>
      </c>
      <c r="B156" s="1">
        <v>0</v>
      </c>
      <c r="C156">
        <v>0</v>
      </c>
      <c r="D156">
        <f t="shared" si="2"/>
        <v>0</v>
      </c>
    </row>
    <row r="157" spans="1:4" x14ac:dyDescent="0.35">
      <c r="A157" t="s">
        <v>386</v>
      </c>
      <c r="B157" s="1">
        <v>0</v>
      </c>
      <c r="C157">
        <v>0</v>
      </c>
      <c r="D157">
        <f t="shared" si="2"/>
        <v>0</v>
      </c>
    </row>
    <row r="158" spans="1:4" x14ac:dyDescent="0.35">
      <c r="A158" t="s">
        <v>387</v>
      </c>
      <c r="B158" s="1">
        <v>0</v>
      </c>
      <c r="C158">
        <v>0</v>
      </c>
      <c r="D158">
        <f t="shared" si="2"/>
        <v>0</v>
      </c>
    </row>
    <row r="159" spans="1:4" x14ac:dyDescent="0.35">
      <c r="A159" t="s">
        <v>388</v>
      </c>
      <c r="B159" s="1">
        <v>0</v>
      </c>
      <c r="C159">
        <v>1.5111600014000568</v>
      </c>
      <c r="D159">
        <f t="shared" si="2"/>
        <v>0</v>
      </c>
    </row>
    <row r="160" spans="1:4" x14ac:dyDescent="0.35">
      <c r="A160" t="s">
        <v>389</v>
      </c>
      <c r="B160" s="1">
        <v>0</v>
      </c>
      <c r="C160">
        <v>0</v>
      </c>
      <c r="D160">
        <f t="shared" si="2"/>
        <v>0</v>
      </c>
    </row>
    <row r="161" spans="1:4" x14ac:dyDescent="0.35">
      <c r="A161" t="s">
        <v>390</v>
      </c>
      <c r="B161" s="1">
        <v>0</v>
      </c>
      <c r="C161">
        <v>0.55846758650000006</v>
      </c>
      <c r="D161">
        <f t="shared" si="2"/>
        <v>0</v>
      </c>
    </row>
    <row r="162" spans="1:4" x14ac:dyDescent="0.35">
      <c r="A162" t="s">
        <v>391</v>
      </c>
      <c r="B162" s="1">
        <v>0</v>
      </c>
      <c r="C162">
        <v>0</v>
      </c>
      <c r="D162">
        <f t="shared" si="2"/>
        <v>0</v>
      </c>
    </row>
    <row r="163" spans="1:4" x14ac:dyDescent="0.35">
      <c r="A163" t="s">
        <v>392</v>
      </c>
      <c r="B163" s="1">
        <v>0</v>
      </c>
      <c r="C163">
        <v>0</v>
      </c>
      <c r="D163">
        <f t="shared" si="2"/>
        <v>0</v>
      </c>
    </row>
    <row r="164" spans="1:4" x14ac:dyDescent="0.35">
      <c r="A164" t="s">
        <v>393</v>
      </c>
      <c r="B164" s="1">
        <v>0</v>
      </c>
      <c r="C164">
        <v>0</v>
      </c>
      <c r="D164">
        <f t="shared" si="2"/>
        <v>0</v>
      </c>
    </row>
    <row r="165" spans="1:4" x14ac:dyDescent="0.35">
      <c r="A165" t="s">
        <v>394</v>
      </c>
      <c r="B165" s="1">
        <v>0</v>
      </c>
      <c r="C165">
        <v>0.72262067700000032</v>
      </c>
      <c r="D165">
        <f t="shared" si="2"/>
        <v>0</v>
      </c>
    </row>
    <row r="166" spans="1:4" x14ac:dyDescent="0.35">
      <c r="A166" t="s">
        <v>395</v>
      </c>
      <c r="B166" s="1">
        <v>0</v>
      </c>
      <c r="C166">
        <v>0</v>
      </c>
      <c r="D166">
        <f t="shared" si="2"/>
        <v>0</v>
      </c>
    </row>
    <row r="167" spans="1:4" x14ac:dyDescent="0.35">
      <c r="A167" t="s">
        <v>396</v>
      </c>
      <c r="B167" s="1">
        <v>0</v>
      </c>
      <c r="C167">
        <v>2.1448042225999973</v>
      </c>
      <c r="D167">
        <f t="shared" si="2"/>
        <v>0</v>
      </c>
    </row>
    <row r="168" spans="1:4" x14ac:dyDescent="0.35">
      <c r="A168" t="s">
        <v>397</v>
      </c>
      <c r="B168" s="1">
        <v>0</v>
      </c>
      <c r="C168">
        <v>0</v>
      </c>
      <c r="D168">
        <f t="shared" si="2"/>
        <v>0</v>
      </c>
    </row>
    <row r="169" spans="1:4" x14ac:dyDescent="0.35">
      <c r="A169" t="s">
        <v>398</v>
      </c>
      <c r="B169" s="1">
        <v>0</v>
      </c>
      <c r="C169">
        <v>0</v>
      </c>
      <c r="D169">
        <f t="shared" si="2"/>
        <v>0</v>
      </c>
    </row>
    <row r="170" spans="1:4" x14ac:dyDescent="0.35">
      <c r="A170" t="s">
        <v>399</v>
      </c>
      <c r="B170" s="1">
        <v>0</v>
      </c>
      <c r="C170">
        <v>0</v>
      </c>
      <c r="D170">
        <f t="shared" si="2"/>
        <v>0</v>
      </c>
    </row>
    <row r="171" spans="1:4" x14ac:dyDescent="0.35">
      <c r="A171" t="s">
        <v>400</v>
      </c>
      <c r="B171" s="1">
        <v>0</v>
      </c>
      <c r="C171">
        <v>0</v>
      </c>
      <c r="D171">
        <f t="shared" si="2"/>
        <v>0</v>
      </c>
    </row>
    <row r="172" spans="1:4" x14ac:dyDescent="0.35">
      <c r="A172" t="s">
        <v>401</v>
      </c>
      <c r="B172" s="1">
        <v>0</v>
      </c>
      <c r="C172">
        <v>8.1000215999990591E-2</v>
      </c>
      <c r="D172">
        <f t="shared" si="2"/>
        <v>0</v>
      </c>
    </row>
    <row r="173" spans="1:4" x14ac:dyDescent="0.35">
      <c r="A173" t="s">
        <v>402</v>
      </c>
      <c r="B173" s="1">
        <v>0</v>
      </c>
      <c r="C173">
        <v>8.9775108000011677E-2</v>
      </c>
      <c r="D173">
        <f t="shared" si="2"/>
        <v>0</v>
      </c>
    </row>
    <row r="174" spans="1:4" x14ac:dyDescent="0.35">
      <c r="A174" t="s">
        <v>403</v>
      </c>
      <c r="B174" s="1">
        <v>0</v>
      </c>
      <c r="C174">
        <v>0</v>
      </c>
      <c r="D174">
        <f t="shared" si="2"/>
        <v>0</v>
      </c>
    </row>
    <row r="175" spans="1:4" x14ac:dyDescent="0.35">
      <c r="A175" t="s">
        <v>404</v>
      </c>
      <c r="B175" s="1">
        <v>0</v>
      </c>
      <c r="C175">
        <v>9.2552602309999248</v>
      </c>
      <c r="D175">
        <f t="shared" si="2"/>
        <v>0</v>
      </c>
    </row>
    <row r="176" spans="1:4" x14ac:dyDescent="0.35">
      <c r="A176" t="s">
        <v>405</v>
      </c>
      <c r="B176" s="1">
        <v>0</v>
      </c>
      <c r="C176">
        <v>0</v>
      </c>
      <c r="D176">
        <f t="shared" si="2"/>
        <v>0</v>
      </c>
    </row>
    <row r="177" spans="1:4" x14ac:dyDescent="0.35">
      <c r="A177" t="s">
        <v>406</v>
      </c>
      <c r="B177" s="1">
        <v>0</v>
      </c>
      <c r="C177">
        <v>0</v>
      </c>
      <c r="D177">
        <f t="shared" si="2"/>
        <v>0</v>
      </c>
    </row>
    <row r="178" spans="1:4" x14ac:dyDescent="0.35">
      <c r="A178" t="s">
        <v>407</v>
      </c>
      <c r="B178" s="1">
        <v>0</v>
      </c>
      <c r="C178">
        <v>0</v>
      </c>
      <c r="D178">
        <f t="shared" si="2"/>
        <v>0</v>
      </c>
    </row>
    <row r="179" spans="1:4" x14ac:dyDescent="0.35">
      <c r="A179" t="s">
        <v>408</v>
      </c>
      <c r="B179" s="1">
        <v>0</v>
      </c>
      <c r="C179">
        <v>0</v>
      </c>
      <c r="D179">
        <f t="shared" si="2"/>
        <v>0</v>
      </c>
    </row>
    <row r="180" spans="1:4" x14ac:dyDescent="0.35">
      <c r="A180" t="s">
        <v>409</v>
      </c>
      <c r="B180" s="1">
        <v>0</v>
      </c>
      <c r="C180">
        <v>6.4008977470000072</v>
      </c>
      <c r="D180">
        <f t="shared" si="2"/>
        <v>0</v>
      </c>
    </row>
    <row r="181" spans="1:4" x14ac:dyDescent="0.35">
      <c r="A181" t="s">
        <v>410</v>
      </c>
      <c r="B181" s="1">
        <v>0</v>
      </c>
      <c r="C181">
        <v>0</v>
      </c>
      <c r="D181">
        <f t="shared" si="2"/>
        <v>0</v>
      </c>
    </row>
    <row r="182" spans="1:4" x14ac:dyDescent="0.35">
      <c r="A182" t="s">
        <v>411</v>
      </c>
      <c r="B182" s="1">
        <v>0</v>
      </c>
      <c r="C182">
        <v>0.1242770252</v>
      </c>
      <c r="D182">
        <f t="shared" si="2"/>
        <v>0</v>
      </c>
    </row>
    <row r="183" spans="1:4" x14ac:dyDescent="0.35">
      <c r="A183" t="s">
        <v>412</v>
      </c>
      <c r="B183" s="1">
        <v>0</v>
      </c>
      <c r="C183">
        <v>0</v>
      </c>
      <c r="D183">
        <f t="shared" si="2"/>
        <v>0</v>
      </c>
    </row>
    <row r="184" spans="1:4" x14ac:dyDescent="0.35">
      <c r="A184" t="s">
        <v>413</v>
      </c>
      <c r="B184" s="1">
        <v>0</v>
      </c>
      <c r="C184">
        <v>0.61432410119999981</v>
      </c>
      <c r="D184">
        <f t="shared" si="2"/>
        <v>0</v>
      </c>
    </row>
    <row r="185" spans="1:4" x14ac:dyDescent="0.35">
      <c r="A185" t="s">
        <v>414</v>
      </c>
      <c r="B185" s="1">
        <v>0</v>
      </c>
      <c r="C185">
        <v>0</v>
      </c>
      <c r="D185">
        <f t="shared" si="2"/>
        <v>0</v>
      </c>
    </row>
    <row r="186" spans="1:4" x14ac:dyDescent="0.35">
      <c r="A186" t="s">
        <v>415</v>
      </c>
      <c r="B186" s="1">
        <v>0</v>
      </c>
      <c r="C186">
        <v>1.4E-3</v>
      </c>
      <c r="D186">
        <f t="shared" si="2"/>
        <v>0</v>
      </c>
    </row>
    <row r="187" spans="1:4" x14ac:dyDescent="0.35">
      <c r="A187" t="s">
        <v>416</v>
      </c>
      <c r="B187" s="1">
        <v>0</v>
      </c>
      <c r="C187">
        <v>0</v>
      </c>
      <c r="D187">
        <f t="shared" si="2"/>
        <v>0</v>
      </c>
    </row>
    <row r="188" spans="1:4" x14ac:dyDescent="0.35">
      <c r="A188" t="s">
        <v>417</v>
      </c>
      <c r="B188" s="1">
        <v>0</v>
      </c>
      <c r="C188">
        <v>1.5607962537</v>
      </c>
      <c r="D188">
        <f t="shared" si="2"/>
        <v>0</v>
      </c>
    </row>
    <row r="189" spans="1:4" x14ac:dyDescent="0.35">
      <c r="A189" t="s">
        <v>418</v>
      </c>
      <c r="B189" s="1">
        <v>0</v>
      </c>
      <c r="C189">
        <v>1.5000002039996914</v>
      </c>
      <c r="D189">
        <f t="shared" si="2"/>
        <v>0</v>
      </c>
    </row>
    <row r="190" spans="1:4" x14ac:dyDescent="0.35">
      <c r="A190" t="s">
        <v>419</v>
      </c>
      <c r="B190" s="4">
        <v>0</v>
      </c>
      <c r="C190">
        <v>8.0446654080011122</v>
      </c>
      <c r="D190">
        <f t="shared" si="2"/>
        <v>0</v>
      </c>
    </row>
    <row r="191" spans="1:4" x14ac:dyDescent="0.35">
      <c r="A191" t="s">
        <v>420</v>
      </c>
      <c r="B191" s="1">
        <v>0</v>
      </c>
      <c r="C191">
        <v>0</v>
      </c>
      <c r="D191">
        <f t="shared" si="2"/>
        <v>0</v>
      </c>
    </row>
    <row r="192" spans="1:4" x14ac:dyDescent="0.35">
      <c r="A192" t="s">
        <v>421</v>
      </c>
      <c r="B192" s="4">
        <v>0</v>
      </c>
      <c r="C192">
        <v>3.4897904040005518</v>
      </c>
      <c r="D192">
        <f t="shared" si="2"/>
        <v>0</v>
      </c>
    </row>
    <row r="193" spans="1:8" x14ac:dyDescent="0.35">
      <c r="A193" t="s">
        <v>202</v>
      </c>
      <c r="B193" s="4">
        <v>1</v>
      </c>
      <c r="C193">
        <v>0</v>
      </c>
      <c r="D193">
        <f t="shared" si="2"/>
        <v>0</v>
      </c>
    </row>
    <row r="194" spans="1:8" x14ac:dyDescent="0.35">
      <c r="A194" t="s">
        <v>201</v>
      </c>
      <c r="B194" s="4">
        <v>1</v>
      </c>
      <c r="C194">
        <v>0</v>
      </c>
      <c r="D194">
        <f t="shared" si="2"/>
        <v>0</v>
      </c>
      <c r="F194">
        <f>SUM(C192,C189)</f>
        <v>4.9897906080002432</v>
      </c>
      <c r="G194" s="6">
        <f>F194*3.6</f>
        <v>17.963246188800877</v>
      </c>
      <c r="H194" s="6" t="s">
        <v>514</v>
      </c>
    </row>
    <row r="195" spans="1:8" s="7" customFormat="1" x14ac:dyDescent="0.35">
      <c r="A195" s="7" t="s">
        <v>200</v>
      </c>
      <c r="B195" s="10">
        <v>1</v>
      </c>
      <c r="C195" s="7">
        <v>0</v>
      </c>
      <c r="D195" s="7">
        <f t="shared" ref="D195:D258" si="3">B195*C195</f>
        <v>0</v>
      </c>
    </row>
    <row r="196" spans="1:8" x14ac:dyDescent="0.35">
      <c r="A196" t="s">
        <v>422</v>
      </c>
      <c r="B196" s="1">
        <v>1</v>
      </c>
      <c r="C196">
        <v>6.0609191700000127E-2</v>
      </c>
      <c r="D196">
        <f t="shared" si="3"/>
        <v>6.0609191700000127E-2</v>
      </c>
    </row>
    <row r="197" spans="1:8" x14ac:dyDescent="0.35">
      <c r="A197" t="s">
        <v>423</v>
      </c>
      <c r="B197" s="1">
        <v>1</v>
      </c>
      <c r="C197">
        <v>0.71304916990000977</v>
      </c>
      <c r="D197">
        <f t="shared" si="3"/>
        <v>0.71304916990000977</v>
      </c>
    </row>
    <row r="198" spans="1:8" x14ac:dyDescent="0.35">
      <c r="A198" t="s">
        <v>424</v>
      </c>
      <c r="B198" s="1">
        <v>1</v>
      </c>
      <c r="C198">
        <v>0.15427791339999888</v>
      </c>
      <c r="D198">
        <f t="shared" si="3"/>
        <v>0.15427791339999888</v>
      </c>
    </row>
    <row r="199" spans="1:8" x14ac:dyDescent="0.35">
      <c r="A199" t="s">
        <v>425</v>
      </c>
      <c r="B199" s="1">
        <v>1</v>
      </c>
      <c r="C199">
        <v>0.83695632769986894</v>
      </c>
      <c r="D199">
        <f t="shared" si="3"/>
        <v>0.83695632769986894</v>
      </c>
    </row>
    <row r="200" spans="1:8" x14ac:dyDescent="0.35">
      <c r="A200" t="s">
        <v>426</v>
      </c>
      <c r="B200" s="1">
        <v>1</v>
      </c>
      <c r="C200">
        <v>0</v>
      </c>
      <c r="D200">
        <f t="shared" si="3"/>
        <v>0</v>
      </c>
    </row>
    <row r="201" spans="1:8" x14ac:dyDescent="0.35">
      <c r="A201" t="s">
        <v>427</v>
      </c>
      <c r="B201" s="1">
        <v>1</v>
      </c>
      <c r="C201">
        <v>1.8711810700003842E-2</v>
      </c>
      <c r="D201">
        <f t="shared" si="3"/>
        <v>1.8711810700003842E-2</v>
      </c>
    </row>
    <row r="202" spans="1:8" x14ac:dyDescent="0.35">
      <c r="A202" t="s">
        <v>428</v>
      </c>
      <c r="B202" s="1">
        <v>1</v>
      </c>
      <c r="C202">
        <v>0</v>
      </c>
      <c r="D202">
        <f t="shared" si="3"/>
        <v>0</v>
      </c>
    </row>
    <row r="203" spans="1:8" x14ac:dyDescent="0.35">
      <c r="A203" t="s">
        <v>429</v>
      </c>
      <c r="B203" s="1">
        <v>1</v>
      </c>
      <c r="C203">
        <v>16.538491914700007</v>
      </c>
      <c r="D203">
        <f t="shared" si="3"/>
        <v>16.538491914700007</v>
      </c>
    </row>
    <row r="204" spans="1:8" x14ac:dyDescent="0.35">
      <c r="A204" t="s">
        <v>430</v>
      </c>
      <c r="B204" s="1">
        <v>0</v>
      </c>
      <c r="C204">
        <v>0.75102108819999802</v>
      </c>
      <c r="D204">
        <f t="shared" si="3"/>
        <v>0</v>
      </c>
    </row>
    <row r="205" spans="1:8" x14ac:dyDescent="0.35">
      <c r="A205" t="s">
        <v>431</v>
      </c>
      <c r="B205" s="1">
        <v>1</v>
      </c>
      <c r="C205">
        <v>8.6295057399999917E-2</v>
      </c>
      <c r="D205">
        <f t="shared" si="3"/>
        <v>8.6295057399999917E-2</v>
      </c>
    </row>
    <row r="206" spans="1:8" x14ac:dyDescent="0.35">
      <c r="A206" t="s">
        <v>432</v>
      </c>
      <c r="B206" s="1">
        <v>1</v>
      </c>
      <c r="C206">
        <v>0</v>
      </c>
      <c r="D206">
        <f t="shared" si="3"/>
        <v>0</v>
      </c>
    </row>
    <row r="207" spans="1:8" x14ac:dyDescent="0.35">
      <c r="A207" t="s">
        <v>433</v>
      </c>
      <c r="B207" s="1">
        <v>1</v>
      </c>
      <c r="C207">
        <v>0.46447046989999996</v>
      </c>
      <c r="D207">
        <f t="shared" si="3"/>
        <v>0.46447046989999996</v>
      </c>
    </row>
    <row r="208" spans="1:8" x14ac:dyDescent="0.35">
      <c r="A208" t="s">
        <v>434</v>
      </c>
      <c r="B208" s="1">
        <v>1</v>
      </c>
      <c r="C208">
        <v>1.6945337273999925</v>
      </c>
      <c r="D208">
        <f t="shared" si="3"/>
        <v>1.6945337273999925</v>
      </c>
    </row>
    <row r="209" spans="1:8" x14ac:dyDescent="0.35">
      <c r="A209" t="s">
        <v>435</v>
      </c>
      <c r="B209" s="1">
        <v>1</v>
      </c>
      <c r="C209">
        <v>2.3585525509000096</v>
      </c>
      <c r="D209">
        <f t="shared" si="3"/>
        <v>2.3585525509000096</v>
      </c>
    </row>
    <row r="210" spans="1:8" x14ac:dyDescent="0.35">
      <c r="A210" t="s">
        <v>436</v>
      </c>
      <c r="B210" s="1">
        <v>1</v>
      </c>
      <c r="C210">
        <v>0.78030561519999952</v>
      </c>
      <c r="D210">
        <f t="shared" si="3"/>
        <v>0.78030561519999952</v>
      </c>
    </row>
    <row r="211" spans="1:8" x14ac:dyDescent="0.35">
      <c r="A211" t="s">
        <v>437</v>
      </c>
      <c r="B211" s="1">
        <v>1</v>
      </c>
      <c r="C211">
        <v>0</v>
      </c>
      <c r="D211">
        <f t="shared" si="3"/>
        <v>0</v>
      </c>
    </row>
    <row r="212" spans="1:8" x14ac:dyDescent="0.35">
      <c r="A212" t="s">
        <v>438</v>
      </c>
      <c r="B212" s="1">
        <v>1</v>
      </c>
      <c r="C212">
        <v>0</v>
      </c>
      <c r="D212">
        <f t="shared" si="3"/>
        <v>0</v>
      </c>
    </row>
    <row r="213" spans="1:8" x14ac:dyDescent="0.35">
      <c r="A213" t="s">
        <v>439</v>
      </c>
      <c r="B213" s="1">
        <v>1</v>
      </c>
      <c r="C213">
        <v>0</v>
      </c>
      <c r="D213">
        <f t="shared" si="3"/>
        <v>0</v>
      </c>
    </row>
    <row r="214" spans="1:8" x14ac:dyDescent="0.35">
      <c r="A214" t="s">
        <v>57</v>
      </c>
      <c r="B214" s="1">
        <v>1</v>
      </c>
      <c r="C214">
        <v>3.0269320721000019</v>
      </c>
      <c r="D214">
        <f t="shared" si="3"/>
        <v>3.0269320721000019</v>
      </c>
    </row>
    <row r="215" spans="1:8" x14ac:dyDescent="0.35">
      <c r="A215" t="s">
        <v>198</v>
      </c>
      <c r="B215" s="1">
        <v>1</v>
      </c>
      <c r="C215">
        <v>0</v>
      </c>
      <c r="D215">
        <f t="shared" si="3"/>
        <v>0</v>
      </c>
    </row>
    <row r="216" spans="1:8" x14ac:dyDescent="0.35">
      <c r="A216" t="s">
        <v>440</v>
      </c>
      <c r="B216" s="1">
        <v>1</v>
      </c>
      <c r="C216">
        <v>0.54308370589999999</v>
      </c>
      <c r="D216">
        <f t="shared" si="3"/>
        <v>0.54308370589999999</v>
      </c>
    </row>
    <row r="217" spans="1:8" x14ac:dyDescent="0.35">
      <c r="A217" t="s">
        <v>441</v>
      </c>
      <c r="B217" s="1">
        <v>1</v>
      </c>
      <c r="C217">
        <v>0.18678360780000045</v>
      </c>
      <c r="D217">
        <f t="shared" si="3"/>
        <v>0.18678360780000045</v>
      </c>
    </row>
    <row r="218" spans="1:8" x14ac:dyDescent="0.35">
      <c r="A218" t="s">
        <v>442</v>
      </c>
      <c r="B218" s="1">
        <v>1</v>
      </c>
      <c r="C218">
        <v>0</v>
      </c>
      <c r="D218">
        <f t="shared" si="3"/>
        <v>0</v>
      </c>
    </row>
    <row r="219" spans="1:8" x14ac:dyDescent="0.35">
      <c r="A219" t="s">
        <v>443</v>
      </c>
      <c r="B219" s="1">
        <v>1</v>
      </c>
      <c r="C219">
        <v>0</v>
      </c>
      <c r="D219">
        <f t="shared" si="3"/>
        <v>0</v>
      </c>
    </row>
    <row r="220" spans="1:8" x14ac:dyDescent="0.35">
      <c r="A220" t="s">
        <v>444</v>
      </c>
      <c r="B220" s="1">
        <v>1</v>
      </c>
      <c r="C220">
        <v>0</v>
      </c>
      <c r="D220">
        <f t="shared" si="3"/>
        <v>0</v>
      </c>
    </row>
    <row r="221" spans="1:8" x14ac:dyDescent="0.35">
      <c r="A221" t="s">
        <v>60</v>
      </c>
      <c r="B221" s="1">
        <v>1</v>
      </c>
      <c r="C221">
        <v>0</v>
      </c>
      <c r="D221">
        <f t="shared" si="3"/>
        <v>0</v>
      </c>
    </row>
    <row r="222" spans="1:8" x14ac:dyDescent="0.35">
      <c r="A222" t="s">
        <v>196</v>
      </c>
      <c r="B222" s="1">
        <v>1</v>
      </c>
      <c r="C222">
        <v>0</v>
      </c>
      <c r="D222">
        <f t="shared" si="3"/>
        <v>0</v>
      </c>
    </row>
    <row r="223" spans="1:8" s="7" customFormat="1" x14ac:dyDescent="0.35">
      <c r="A223" s="7" t="s">
        <v>445</v>
      </c>
      <c r="B223" s="8">
        <v>1</v>
      </c>
      <c r="C223" s="7">
        <v>0.26273628769999996</v>
      </c>
      <c r="D223" s="7">
        <f t="shared" si="3"/>
        <v>0.26273628769999996</v>
      </c>
      <c r="F223" s="7">
        <f>SUM(C196:C223)-C204</f>
        <v>27.725789422399892</v>
      </c>
      <c r="G223" s="9">
        <f>F223*3.6</f>
        <v>99.812841920639613</v>
      </c>
      <c r="H223" s="9" t="s">
        <v>513</v>
      </c>
    </row>
    <row r="224" spans="1:8" x14ac:dyDescent="0.35">
      <c r="A224" t="s">
        <v>446</v>
      </c>
      <c r="B224" s="1">
        <v>1</v>
      </c>
      <c r="C224">
        <v>0</v>
      </c>
      <c r="D224">
        <f t="shared" si="3"/>
        <v>0</v>
      </c>
    </row>
    <row r="225" spans="1:4" x14ac:dyDescent="0.35">
      <c r="A225" t="s">
        <v>447</v>
      </c>
      <c r="B225" s="1">
        <v>1</v>
      </c>
      <c r="C225">
        <v>0</v>
      </c>
      <c r="D225">
        <f t="shared" si="3"/>
        <v>0</v>
      </c>
    </row>
    <row r="226" spans="1:4" x14ac:dyDescent="0.35">
      <c r="A226" t="s">
        <v>448</v>
      </c>
      <c r="B226" s="1">
        <v>1</v>
      </c>
      <c r="C226">
        <v>0</v>
      </c>
      <c r="D226">
        <f t="shared" si="3"/>
        <v>0</v>
      </c>
    </row>
    <row r="227" spans="1:4" x14ac:dyDescent="0.35">
      <c r="A227" t="s">
        <v>449</v>
      </c>
      <c r="B227" s="1">
        <v>0</v>
      </c>
      <c r="C227">
        <v>0</v>
      </c>
      <c r="D227">
        <f t="shared" si="3"/>
        <v>0</v>
      </c>
    </row>
    <row r="228" spans="1:4" x14ac:dyDescent="0.35">
      <c r="A228" t="s">
        <v>450</v>
      </c>
      <c r="B228" s="1">
        <v>0</v>
      </c>
      <c r="C228">
        <v>0</v>
      </c>
      <c r="D228">
        <f t="shared" si="3"/>
        <v>0</v>
      </c>
    </row>
    <row r="229" spans="1:4" x14ac:dyDescent="0.35">
      <c r="A229" t="s">
        <v>451</v>
      </c>
      <c r="B229" s="1">
        <v>0</v>
      </c>
      <c r="C229">
        <v>0.42874483929998319</v>
      </c>
      <c r="D229">
        <f t="shared" si="3"/>
        <v>0</v>
      </c>
    </row>
    <row r="230" spans="1:4" x14ac:dyDescent="0.35">
      <c r="A230" t="s">
        <v>452</v>
      </c>
      <c r="B230" s="1">
        <v>0</v>
      </c>
      <c r="C230">
        <v>1.7102247255999341</v>
      </c>
      <c r="D230">
        <f t="shared" si="3"/>
        <v>0</v>
      </c>
    </row>
    <row r="231" spans="1:4" x14ac:dyDescent="0.35">
      <c r="A231" t="s">
        <v>453</v>
      </c>
      <c r="B231" s="1">
        <v>1</v>
      </c>
      <c r="C231">
        <v>0</v>
      </c>
      <c r="D231">
        <f t="shared" si="3"/>
        <v>0</v>
      </c>
    </row>
    <row r="232" spans="1:4" x14ac:dyDescent="0.35">
      <c r="A232" t="s">
        <v>454</v>
      </c>
      <c r="B232" s="1">
        <v>1</v>
      </c>
      <c r="C232">
        <v>0</v>
      </c>
      <c r="D232">
        <f t="shared" si="3"/>
        <v>0</v>
      </c>
    </row>
    <row r="233" spans="1:4" x14ac:dyDescent="0.35">
      <c r="A233" t="s">
        <v>455</v>
      </c>
      <c r="B233" s="1">
        <v>1</v>
      </c>
      <c r="C233">
        <v>0</v>
      </c>
      <c r="D233">
        <f t="shared" si="3"/>
        <v>0</v>
      </c>
    </row>
    <row r="234" spans="1:4" x14ac:dyDescent="0.35">
      <c r="A234" t="s">
        <v>456</v>
      </c>
      <c r="B234" s="1">
        <v>1</v>
      </c>
      <c r="C234">
        <v>0</v>
      </c>
      <c r="D234">
        <f t="shared" si="3"/>
        <v>0</v>
      </c>
    </row>
    <row r="235" spans="1:4" x14ac:dyDescent="0.35">
      <c r="A235" t="s">
        <v>457</v>
      </c>
      <c r="B235" s="1">
        <v>0</v>
      </c>
      <c r="C235">
        <v>0</v>
      </c>
      <c r="D235">
        <f t="shared" si="3"/>
        <v>0</v>
      </c>
    </row>
    <row r="236" spans="1:4" x14ac:dyDescent="0.35">
      <c r="A236" t="s">
        <v>458</v>
      </c>
      <c r="B236" s="1">
        <v>0</v>
      </c>
      <c r="C236">
        <v>0.19694459550000001</v>
      </c>
      <c r="D236">
        <f t="shared" si="3"/>
        <v>0</v>
      </c>
    </row>
    <row r="237" spans="1:4" x14ac:dyDescent="0.35">
      <c r="A237" t="s">
        <v>459</v>
      </c>
      <c r="B237" s="1">
        <v>1</v>
      </c>
      <c r="C237">
        <v>2.6520439499999913E-2</v>
      </c>
      <c r="D237">
        <f t="shared" si="3"/>
        <v>2.6520439499999913E-2</v>
      </c>
    </row>
    <row r="238" spans="1:4" x14ac:dyDescent="0.35">
      <c r="A238" t="s">
        <v>460</v>
      </c>
      <c r="B238" s="1">
        <v>1</v>
      </c>
      <c r="C238">
        <v>1.759971599999741E-2</v>
      </c>
      <c r="D238">
        <f t="shared" si="3"/>
        <v>1.759971599999741E-2</v>
      </c>
    </row>
    <row r="239" spans="1:4" x14ac:dyDescent="0.35">
      <c r="A239" t="s">
        <v>461</v>
      </c>
      <c r="B239" s="1">
        <v>1</v>
      </c>
      <c r="C239">
        <v>0</v>
      </c>
      <c r="D239">
        <f t="shared" si="3"/>
        <v>0</v>
      </c>
    </row>
    <row r="240" spans="1:4" x14ac:dyDescent="0.35">
      <c r="A240" t="s">
        <v>462</v>
      </c>
      <c r="B240" s="1">
        <v>1</v>
      </c>
      <c r="C240">
        <v>1.6071122279998267</v>
      </c>
      <c r="D240">
        <f t="shared" si="3"/>
        <v>1.6071122279998267</v>
      </c>
    </row>
    <row r="241" spans="1:4" x14ac:dyDescent="0.35">
      <c r="A241" t="s">
        <v>463</v>
      </c>
      <c r="B241" s="1">
        <v>1</v>
      </c>
      <c r="C241">
        <v>6.4990490300000009E-2</v>
      </c>
      <c r="D241">
        <f t="shared" si="3"/>
        <v>6.4990490300000009E-2</v>
      </c>
    </row>
    <row r="242" spans="1:4" x14ac:dyDescent="0.35">
      <c r="A242" t="s">
        <v>464</v>
      </c>
      <c r="B242" s="1">
        <v>1</v>
      </c>
      <c r="C242">
        <v>6.5073645500000166E-2</v>
      </c>
      <c r="D242">
        <f t="shared" si="3"/>
        <v>6.5073645500000166E-2</v>
      </c>
    </row>
    <row r="243" spans="1:4" x14ac:dyDescent="0.35">
      <c r="A243" t="s">
        <v>465</v>
      </c>
      <c r="B243" s="1">
        <v>1</v>
      </c>
      <c r="C243">
        <v>29.055620393899734</v>
      </c>
      <c r="D243">
        <f t="shared" si="3"/>
        <v>29.055620393899734</v>
      </c>
    </row>
    <row r="244" spans="1:4" x14ac:dyDescent="0.35">
      <c r="A244" t="s">
        <v>466</v>
      </c>
      <c r="B244" s="1">
        <v>1</v>
      </c>
      <c r="C244">
        <v>17.232972202099944</v>
      </c>
      <c r="D244">
        <f t="shared" si="3"/>
        <v>17.232972202099944</v>
      </c>
    </row>
    <row r="245" spans="1:4" x14ac:dyDescent="0.35">
      <c r="A245" t="s">
        <v>467</v>
      </c>
      <c r="B245" s="1">
        <v>1</v>
      </c>
      <c r="C245">
        <v>0</v>
      </c>
      <c r="D245">
        <f t="shared" si="3"/>
        <v>0</v>
      </c>
    </row>
    <row r="246" spans="1:4" x14ac:dyDescent="0.35">
      <c r="A246" t="s">
        <v>468</v>
      </c>
      <c r="B246" s="1">
        <v>1</v>
      </c>
      <c r="C246">
        <v>0</v>
      </c>
      <c r="D246">
        <f t="shared" si="3"/>
        <v>0</v>
      </c>
    </row>
    <row r="247" spans="1:4" x14ac:dyDescent="0.35">
      <c r="A247" t="s">
        <v>469</v>
      </c>
      <c r="B247" s="1">
        <v>0</v>
      </c>
      <c r="C247">
        <v>1.989936400000098E-3</v>
      </c>
      <c r="D247">
        <f t="shared" si="3"/>
        <v>0</v>
      </c>
    </row>
    <row r="248" spans="1:4" x14ac:dyDescent="0.35">
      <c r="A248" t="s">
        <v>470</v>
      </c>
      <c r="B248" s="1">
        <v>0</v>
      </c>
      <c r="C248">
        <v>2.7263120466000013</v>
      </c>
      <c r="D248">
        <f t="shared" si="3"/>
        <v>0</v>
      </c>
    </row>
    <row r="249" spans="1:4" x14ac:dyDescent="0.35">
      <c r="A249" t="s">
        <v>471</v>
      </c>
      <c r="B249" s="1">
        <v>1</v>
      </c>
      <c r="C249">
        <v>0</v>
      </c>
      <c r="D249">
        <f t="shared" si="3"/>
        <v>0</v>
      </c>
    </row>
    <row r="250" spans="1:4" x14ac:dyDescent="0.35">
      <c r="A250" t="s">
        <v>472</v>
      </c>
      <c r="B250" s="1">
        <v>1</v>
      </c>
      <c r="C250">
        <v>0</v>
      </c>
      <c r="D250">
        <f t="shared" si="3"/>
        <v>0</v>
      </c>
    </row>
    <row r="251" spans="1:4" x14ac:dyDescent="0.35">
      <c r="A251" t="s">
        <v>473</v>
      </c>
      <c r="B251" s="1">
        <v>0</v>
      </c>
      <c r="C251">
        <v>0</v>
      </c>
      <c r="D251">
        <f t="shared" si="3"/>
        <v>0</v>
      </c>
    </row>
    <row r="252" spans="1:4" x14ac:dyDescent="0.35">
      <c r="A252" t="s">
        <v>474</v>
      </c>
      <c r="B252" s="1">
        <v>0</v>
      </c>
      <c r="C252">
        <v>0.53080947929997524</v>
      </c>
      <c r="D252">
        <f t="shared" si="3"/>
        <v>0</v>
      </c>
    </row>
    <row r="253" spans="1:4" x14ac:dyDescent="0.35">
      <c r="A253" t="s">
        <v>475</v>
      </c>
      <c r="B253" s="1">
        <v>1</v>
      </c>
      <c r="C253">
        <v>0</v>
      </c>
      <c r="D253">
        <f t="shared" si="3"/>
        <v>0</v>
      </c>
    </row>
    <row r="254" spans="1:4" x14ac:dyDescent="0.35">
      <c r="A254" t="s">
        <v>476</v>
      </c>
      <c r="B254" s="1">
        <v>1</v>
      </c>
      <c r="C254">
        <v>0</v>
      </c>
      <c r="D254">
        <f t="shared" si="3"/>
        <v>0</v>
      </c>
    </row>
    <row r="255" spans="1:4" x14ac:dyDescent="0.35">
      <c r="A255" t="s">
        <v>477</v>
      </c>
      <c r="B255" s="1">
        <v>1</v>
      </c>
      <c r="C255">
        <v>0</v>
      </c>
      <c r="D255">
        <f t="shared" si="3"/>
        <v>0</v>
      </c>
    </row>
    <row r="256" spans="1:4" x14ac:dyDescent="0.35">
      <c r="A256" t="s">
        <v>478</v>
      </c>
      <c r="B256" s="1">
        <v>1</v>
      </c>
      <c r="C256">
        <v>0</v>
      </c>
      <c r="D256">
        <f t="shared" si="3"/>
        <v>0</v>
      </c>
    </row>
    <row r="257" spans="1:8" x14ac:dyDescent="0.35">
      <c r="A257" t="s">
        <v>479</v>
      </c>
      <c r="B257" s="1">
        <v>1</v>
      </c>
      <c r="C257">
        <v>0</v>
      </c>
      <c r="D257">
        <f t="shared" si="3"/>
        <v>0</v>
      </c>
    </row>
    <row r="258" spans="1:8" x14ac:dyDescent="0.35">
      <c r="A258" s="3" t="s">
        <v>480</v>
      </c>
      <c r="B258" s="1">
        <v>1</v>
      </c>
      <c r="C258">
        <v>0</v>
      </c>
      <c r="D258">
        <f t="shared" si="3"/>
        <v>0</v>
      </c>
    </row>
    <row r="259" spans="1:8" x14ac:dyDescent="0.35">
      <c r="A259" s="3" t="s">
        <v>481</v>
      </c>
      <c r="B259" s="1">
        <v>1</v>
      </c>
      <c r="C259">
        <v>0</v>
      </c>
      <c r="D259">
        <f t="shared" ref="D259:D285" si="4">B259*C259</f>
        <v>0</v>
      </c>
    </row>
    <row r="260" spans="1:8" x14ac:dyDescent="0.35">
      <c r="A260" t="s">
        <v>482</v>
      </c>
      <c r="B260" s="1">
        <v>1</v>
      </c>
      <c r="C260">
        <v>0</v>
      </c>
      <c r="D260">
        <f t="shared" si="4"/>
        <v>0</v>
      </c>
    </row>
    <row r="261" spans="1:8" x14ac:dyDescent="0.35">
      <c r="A261" s="2" t="s">
        <v>483</v>
      </c>
      <c r="B261" s="1">
        <v>1</v>
      </c>
      <c r="C261">
        <v>2.9608449599997071</v>
      </c>
      <c r="D261">
        <f t="shared" si="4"/>
        <v>2.9608449599997071</v>
      </c>
    </row>
    <row r="262" spans="1:8" x14ac:dyDescent="0.35">
      <c r="A262" s="2" t="s">
        <v>484</v>
      </c>
      <c r="B262" s="1">
        <v>1</v>
      </c>
      <c r="C262">
        <v>0</v>
      </c>
      <c r="D262">
        <f t="shared" si="4"/>
        <v>0</v>
      </c>
    </row>
    <row r="263" spans="1:8" x14ac:dyDescent="0.35">
      <c r="A263" t="s">
        <v>485</v>
      </c>
      <c r="B263" s="1">
        <v>1</v>
      </c>
      <c r="C263">
        <v>0</v>
      </c>
      <c r="D263">
        <f t="shared" si="4"/>
        <v>0</v>
      </c>
    </row>
    <row r="264" spans="1:8" x14ac:dyDescent="0.35">
      <c r="A264" t="s">
        <v>486</v>
      </c>
      <c r="B264" s="1">
        <v>1</v>
      </c>
      <c r="C264">
        <v>0</v>
      </c>
      <c r="D264">
        <f t="shared" si="4"/>
        <v>0</v>
      </c>
    </row>
    <row r="265" spans="1:8" x14ac:dyDescent="0.35">
      <c r="A265" t="s">
        <v>487</v>
      </c>
      <c r="B265" s="1">
        <v>1</v>
      </c>
      <c r="C265">
        <v>15.526089096002893</v>
      </c>
      <c r="D265">
        <f t="shared" si="4"/>
        <v>15.526089096002893</v>
      </c>
    </row>
    <row r="266" spans="1:8" x14ac:dyDescent="0.35">
      <c r="A266" t="s">
        <v>488</v>
      </c>
      <c r="B266" s="1">
        <v>1</v>
      </c>
      <c r="C266">
        <v>2.1662297399997574</v>
      </c>
      <c r="D266">
        <f t="shared" si="4"/>
        <v>2.1662297399997574</v>
      </c>
    </row>
    <row r="267" spans="1:8" x14ac:dyDescent="0.35">
      <c r="A267" t="s">
        <v>489</v>
      </c>
      <c r="B267" s="1">
        <v>1</v>
      </c>
      <c r="C267">
        <v>11.396772605400026</v>
      </c>
      <c r="D267">
        <f t="shared" si="4"/>
        <v>11.396772605400026</v>
      </c>
    </row>
    <row r="268" spans="1:8" s="7" customFormat="1" x14ac:dyDescent="0.35">
      <c r="A268" s="7" t="s">
        <v>490</v>
      </c>
      <c r="B268" s="8">
        <v>1</v>
      </c>
      <c r="C268" s="7">
        <v>2.4781344301999986</v>
      </c>
      <c r="D268" s="7">
        <f t="shared" si="4"/>
        <v>2.4781344301999986</v>
      </c>
      <c r="F268" s="7">
        <f>SUM(C224:C268)-C237-C241-C242</f>
        <v>88.036400994301772</v>
      </c>
      <c r="G268" s="9">
        <f>F268*3.6</f>
        <v>316.93104357948641</v>
      </c>
      <c r="H268" s="9" t="s">
        <v>512</v>
      </c>
    </row>
    <row r="269" spans="1:8" s="7" customFormat="1" x14ac:dyDescent="0.35">
      <c r="A269" s="7" t="s">
        <v>491</v>
      </c>
      <c r="B269" s="8">
        <v>1</v>
      </c>
      <c r="C269" s="7">
        <v>0</v>
      </c>
      <c r="D269" s="7">
        <f t="shared" si="4"/>
        <v>0</v>
      </c>
      <c r="F269" s="7">
        <v>0</v>
      </c>
    </row>
    <row r="270" spans="1:8" x14ac:dyDescent="0.35">
      <c r="A270" t="s">
        <v>492</v>
      </c>
      <c r="B270" s="1">
        <v>1</v>
      </c>
      <c r="C270">
        <v>7.5696922099999148E-2</v>
      </c>
      <c r="D270">
        <f t="shared" si="4"/>
        <v>7.5696922099999148E-2</v>
      </c>
    </row>
    <row r="271" spans="1:8" x14ac:dyDescent="0.35">
      <c r="A271" t="s">
        <v>493</v>
      </c>
      <c r="B271" s="1">
        <v>0</v>
      </c>
      <c r="C271">
        <v>0</v>
      </c>
      <c r="D271">
        <f t="shared" si="4"/>
        <v>0</v>
      </c>
    </row>
    <row r="272" spans="1:8" x14ac:dyDescent="0.35">
      <c r="A272" t="s">
        <v>494</v>
      </c>
      <c r="B272" s="1">
        <v>1</v>
      </c>
      <c r="C272">
        <v>1.1947451311000006</v>
      </c>
      <c r="D272">
        <f t="shared" si="4"/>
        <v>1.1947451311000006</v>
      </c>
    </row>
    <row r="273" spans="1:8" x14ac:dyDescent="0.35">
      <c r="A273" t="s">
        <v>495</v>
      </c>
      <c r="B273" s="1">
        <v>0</v>
      </c>
      <c r="C273">
        <v>0.14151038170000158</v>
      </c>
      <c r="D273">
        <f t="shared" si="4"/>
        <v>0</v>
      </c>
    </row>
    <row r="274" spans="1:8" x14ac:dyDescent="0.35">
      <c r="A274" t="s">
        <v>496</v>
      </c>
      <c r="B274" s="1">
        <v>1</v>
      </c>
      <c r="C274">
        <v>8.4078711234999748</v>
      </c>
      <c r="D274">
        <f t="shared" si="4"/>
        <v>8.4078711234999748</v>
      </c>
    </row>
    <row r="275" spans="1:8" x14ac:dyDescent="0.35">
      <c r="A275" t="s">
        <v>497</v>
      </c>
      <c r="B275" s="1">
        <v>1</v>
      </c>
      <c r="C275">
        <v>0.12913922990000154</v>
      </c>
      <c r="D275">
        <f t="shared" si="4"/>
        <v>0.12913922990000154</v>
      </c>
    </row>
    <row r="276" spans="1:8" x14ac:dyDescent="0.35">
      <c r="A276" t="s">
        <v>498</v>
      </c>
      <c r="B276" s="1">
        <v>1</v>
      </c>
      <c r="C276">
        <v>2.1079243800000015E-2</v>
      </c>
      <c r="D276">
        <f t="shared" si="4"/>
        <v>2.1079243800000015E-2</v>
      </c>
    </row>
    <row r="277" spans="1:8" x14ac:dyDescent="0.35">
      <c r="A277" t="s">
        <v>499</v>
      </c>
      <c r="B277" s="1">
        <v>1</v>
      </c>
      <c r="C277">
        <v>1.7169382569999638</v>
      </c>
      <c r="D277">
        <f t="shared" si="4"/>
        <v>1.7169382569999638</v>
      </c>
    </row>
    <row r="278" spans="1:8" x14ac:dyDescent="0.35">
      <c r="A278" t="s">
        <v>500</v>
      </c>
      <c r="B278" s="1">
        <v>1</v>
      </c>
      <c r="C278">
        <v>0</v>
      </c>
      <c r="D278">
        <f t="shared" si="4"/>
        <v>0</v>
      </c>
    </row>
    <row r="279" spans="1:8" x14ac:dyDescent="0.35">
      <c r="A279" t="s">
        <v>501</v>
      </c>
      <c r="B279" s="1">
        <v>1</v>
      </c>
      <c r="C279">
        <v>0.21143796100000628</v>
      </c>
      <c r="D279">
        <f t="shared" si="4"/>
        <v>0.21143796100000628</v>
      </c>
    </row>
    <row r="280" spans="1:8" x14ac:dyDescent="0.35">
      <c r="A280" t="s">
        <v>502</v>
      </c>
      <c r="B280" s="1">
        <v>1</v>
      </c>
      <c r="C280">
        <v>4.0502188199999067E-2</v>
      </c>
      <c r="D280">
        <f t="shared" si="4"/>
        <v>4.0502188199999067E-2</v>
      </c>
    </row>
    <row r="281" spans="1:8" x14ac:dyDescent="0.35">
      <c r="A281" t="s">
        <v>503</v>
      </c>
      <c r="B281" s="1">
        <v>0</v>
      </c>
      <c r="C281">
        <v>0</v>
      </c>
      <c r="D281">
        <f t="shared" si="4"/>
        <v>0</v>
      </c>
    </row>
    <row r="282" spans="1:8" x14ac:dyDescent="0.35">
      <c r="A282" t="s">
        <v>504</v>
      </c>
      <c r="B282" s="1">
        <v>1</v>
      </c>
      <c r="C282">
        <v>6.5948744516999387</v>
      </c>
      <c r="D282">
        <f t="shared" si="4"/>
        <v>6.5948744516999387</v>
      </c>
    </row>
    <row r="283" spans="1:8" x14ac:dyDescent="0.35">
      <c r="A283" t="s">
        <v>505</v>
      </c>
      <c r="B283" s="1">
        <v>0</v>
      </c>
      <c r="C283">
        <v>0</v>
      </c>
      <c r="D283">
        <f t="shared" si="4"/>
        <v>0</v>
      </c>
    </row>
    <row r="284" spans="1:8" s="7" customFormat="1" x14ac:dyDescent="0.35">
      <c r="A284" s="7" t="s">
        <v>506</v>
      </c>
      <c r="B284" s="8">
        <v>1</v>
      </c>
      <c r="C284" s="7">
        <v>3.2719080347999254</v>
      </c>
      <c r="D284" s="7">
        <f t="shared" si="4"/>
        <v>3.2719080347999254</v>
      </c>
      <c r="F284" s="7">
        <f>SUM(C270:C284)-C271-C273-C281-C283</f>
        <v>21.664192543099809</v>
      </c>
      <c r="G284" s="9">
        <f>F284*3.6</f>
        <v>77.991093155159319</v>
      </c>
      <c r="H284" s="9" t="s">
        <v>511</v>
      </c>
    </row>
    <row r="285" spans="1:8" x14ac:dyDescent="0.35">
      <c r="A285" t="s">
        <v>507</v>
      </c>
      <c r="B285" s="1">
        <v>1</v>
      </c>
      <c r="C285">
        <v>0.21003075589999989</v>
      </c>
      <c r="D285">
        <f t="shared" si="4"/>
        <v>0.21003075589999989</v>
      </c>
    </row>
    <row r="287" spans="1:8" x14ac:dyDescent="0.35">
      <c r="C287">
        <f>SUM(C122:C285)</f>
        <v>235.31647737990258</v>
      </c>
      <c r="D287">
        <f>SUM(D2:D285)</f>
        <v>179.72052265180136</v>
      </c>
      <c r="F287" s="6">
        <f>G287/3.6</f>
        <v>183.26407962300232</v>
      </c>
      <c r="G287">
        <f>SUM(G1:G284)</f>
        <v>659.75068664280832</v>
      </c>
    </row>
    <row r="289" spans="3:5" x14ac:dyDescent="0.35">
      <c r="D289">
        <f>93.38799+0+51.66447+99.81284+316.93104+77.99109+17.96325+4.20622</f>
        <v>661.95690000000002</v>
      </c>
      <c r="E289" t="s">
        <v>510</v>
      </c>
    </row>
    <row r="290" spans="3:5" x14ac:dyDescent="0.35">
      <c r="D290">
        <f>D289/3.6</f>
        <v>183.87691666666666</v>
      </c>
      <c r="E290" t="s">
        <v>508</v>
      </c>
    </row>
    <row r="292" spans="3:5" x14ac:dyDescent="0.35">
      <c r="C292">
        <f>C287-D290</f>
        <v>51.43956071323592</v>
      </c>
      <c r="D292">
        <f>D287-D290</f>
        <v>-4.1563940148652989</v>
      </c>
    </row>
  </sheetData>
  <conditionalFormatting sqref="A1:A1048576">
    <cfRule type="containsText" dxfId="2" priority="1" operator="containsText" text="energy">
      <formula>NOT(ISERROR(SEARCH("energy",A1)))</formula>
    </cfRule>
    <cfRule type="containsText" dxfId="1" priority="2" operator="containsText" text="output">
      <formula>NOT(ISERROR(SEARCH("output",A1)))</formula>
    </cfRule>
    <cfRule type="containsText" dxfId="0" priority="3" operator="containsText" text="flex">
      <formula>NOT(ISERROR(SEARCH("flex",A1)))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Gas</vt:lpstr>
      <vt:lpstr>Heat</vt:lpstr>
      <vt:lpstr>Hydrogen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Hasselaar, K. (Kevin)</dc:creator>
  <cp:lastModifiedBy>Kevin Hasselaar</cp:lastModifiedBy>
  <dcterms:created xsi:type="dcterms:W3CDTF">2025-07-31T20:50:40Z</dcterms:created>
  <dcterms:modified xsi:type="dcterms:W3CDTF">2025-11-20T17:07:41Z</dcterms:modified>
</cp:coreProperties>
</file>