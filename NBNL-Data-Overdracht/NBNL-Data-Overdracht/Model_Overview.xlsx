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tno-my.sharepoint.com/personal/kevin_hasselaar_tno_nl/Documents/Desktop/"/>
    </mc:Choice>
  </mc:AlternateContent>
  <xr:revisionPtr revIDLastSave="52" documentId="8_{F9F757DD-3DC6-4A89-A8AB-2B0EA31560EE}" xr6:coauthVersionLast="47" xr6:coauthVersionMax="47" xr10:uidLastSave="{56DC1EA3-42F9-4E7C-8068-9CBCAF82BCDF}"/>
  <bookViews>
    <workbookView xWindow="-4950" yWindow="-21600" windowWidth="19410" windowHeight="20985" xr2:uid="{06E8F5CC-F5CF-4CCF-8B01-7358CAF359F3}"/>
  </bookViews>
  <sheets>
    <sheet name="Uitleg" sheetId="9" r:id="rId1"/>
    <sheet name="Nodes" sheetId="4" r:id="rId2"/>
    <sheet name="Links" sheetId="6" r:id="rId3"/>
    <sheet name="Interconnectors" sheetId="7" r:id="rId4"/>
    <sheet name="E-BKR" sheetId="8" r:id="rId5"/>
    <sheet name="Links_overview" sheetId="5" r:id="rId6"/>
    <sheet name="Input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7" l="1"/>
  <c r="K13" i="7"/>
  <c r="K12" i="7"/>
  <c r="K11" i="7"/>
  <c r="K10" i="7"/>
  <c r="K9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G26" i="2"/>
  <c r="G25" i="2"/>
  <c r="G24" i="2"/>
  <c r="G23" i="2"/>
  <c r="G22" i="2"/>
  <c r="G21" i="2"/>
</calcChain>
</file>

<file path=xl/sharedStrings.xml><?xml version="1.0" encoding="utf-8"?>
<sst xmlns="http://schemas.openxmlformats.org/spreadsheetml/2006/main" count="864" uniqueCount="383">
  <si>
    <t>Eigen Vermogen 2040</t>
  </si>
  <si>
    <t>Koersvaste Middenweg 2040</t>
  </si>
  <si>
    <t>Technology</t>
  </si>
  <si>
    <t>Energy Cap Min [GW]</t>
  </si>
  <si>
    <t>Energy Cap Max [GW]</t>
  </si>
  <si>
    <t>CAPEX [M€/GW]</t>
  </si>
  <si>
    <t>OM annual [M€/GW/yr]</t>
  </si>
  <si>
    <t>OPEX [M€/GWh]</t>
  </si>
  <si>
    <t>BESS IDES</t>
  </si>
  <si>
    <t>2400 / 400 (cap/storage)</t>
  </si>
  <si>
    <t>BESS MDES</t>
  </si>
  <si>
    <t>700 / 50 (cap/storage)</t>
  </si>
  <si>
    <t>BESS Households</t>
  </si>
  <si>
    <t>3000 / 1000 (cap/storage)</t>
  </si>
  <si>
    <t>Offshore Wind</t>
  </si>
  <si>
    <t>(incl. Transmission offshore)</t>
  </si>
  <si>
    <t>Onshore Wind</t>
  </si>
  <si>
    <t>Rooftop PV</t>
  </si>
  <si>
    <t>Utility PV</t>
  </si>
  <si>
    <t>Run-of-River hydropower</t>
  </si>
  <si>
    <t>Biomass Standalone</t>
  </si>
  <si>
    <t>Waste Incinerator</t>
  </si>
  <si>
    <t>CCGT Gas</t>
  </si>
  <si>
    <t>OCGT Gas</t>
  </si>
  <si>
    <t>CCGT Hydrogen</t>
  </si>
  <si>
    <t>OCGT Hydrogen</t>
  </si>
  <si>
    <t>Elektrolyser onshore</t>
  </si>
  <si>
    <t>Elektrolyser offshore</t>
  </si>
  <si>
    <t>Electric boiler</t>
  </si>
  <si>
    <t>Nuclear conventional</t>
  </si>
  <si>
    <t>Nuclear CHP SMR - Hitachi</t>
  </si>
  <si>
    <r>
      <t>(</t>
    </r>
    <r>
      <rPr>
        <b/>
        <sz val="11"/>
        <color theme="1"/>
        <rFont val="Aptos Narrow"/>
        <family val="2"/>
        <scheme val="minor"/>
      </rPr>
      <t>BL</t>
    </r>
    <r>
      <rPr>
        <sz val="11"/>
        <color theme="1"/>
        <rFont val="Aptos Narrow"/>
        <family val="2"/>
        <scheme val="minor"/>
      </rPr>
      <t xml:space="preserve"> : 0, else: 9,6)</t>
    </r>
  </si>
  <si>
    <t>Nuclear CHP SMR – Rolls Royce</t>
  </si>
  <si>
    <r>
      <t>(</t>
    </r>
    <r>
      <rPr>
        <b/>
        <sz val="11"/>
        <color theme="1"/>
        <rFont val="Aptos Narrow"/>
        <family val="2"/>
        <scheme val="minor"/>
      </rPr>
      <t>BL</t>
    </r>
    <r>
      <rPr>
        <sz val="11"/>
        <color theme="1"/>
        <rFont val="Aptos Narrow"/>
        <family val="2"/>
        <scheme val="minor"/>
      </rPr>
      <t xml:space="preserve"> : 0, else: 15,04)</t>
    </r>
  </si>
  <si>
    <t>Nuclear CHP SMR – Thorizon</t>
  </si>
  <si>
    <r>
      <t>(</t>
    </r>
    <r>
      <rPr>
        <b/>
        <sz val="11"/>
        <color theme="1"/>
        <rFont val="Aptos Narrow"/>
        <family val="2"/>
        <scheme val="minor"/>
      </rPr>
      <t>BL</t>
    </r>
    <r>
      <rPr>
        <sz val="11"/>
        <color theme="1"/>
        <rFont val="Aptos Narrow"/>
        <family val="2"/>
        <scheme val="minor"/>
      </rPr>
      <t xml:space="preserve"> : 0, else: 3,2)</t>
    </r>
  </si>
  <si>
    <t>Nuclear CHH2P SMR - Hitachi</t>
  </si>
  <si>
    <t>Nuclear CHH2P SMR – Rolls Royce</t>
  </si>
  <si>
    <t>Nuclear CHH2P SMR - Thorizon</t>
  </si>
  <si>
    <t>Production gas fields</t>
  </si>
  <si>
    <t>Saltcavern Gas storage</t>
  </si>
  <si>
    <t>265,75 / 0,55</t>
  </si>
  <si>
    <t>Import LNG terminal</t>
  </si>
  <si>
    <t>3%/yr</t>
  </si>
  <si>
    <t>Transmission HVAC</t>
  </si>
  <si>
    <t>0.99965 eff/distance</t>
  </si>
  <si>
    <t>Interconnector</t>
  </si>
  <si>
    <t>Total demand electricity [TWh]</t>
  </si>
  <si>
    <t>Total demand heat [TWh]</t>
  </si>
  <si>
    <t>Total demand hydrogen [TWh]</t>
  </si>
  <si>
    <t>notes</t>
  </si>
  <si>
    <t>max for elektrolysers == max. potential hydrogen output in system from SMRs</t>
  </si>
  <si>
    <t>Max for PtH == max. Potential heat output in system from SMRs</t>
  </si>
  <si>
    <t xml:space="preserve">Max. Nuclear conventional == planned max. </t>
  </si>
  <si>
    <t>Max other techs == 125% NBNL 2050</t>
  </si>
  <si>
    <t>Interconnectors</t>
  </si>
  <si>
    <t>NL</t>
  </si>
  <si>
    <t>E-DE-DIE</t>
  </si>
  <si>
    <t>E-BE-EYC</t>
  </si>
  <si>
    <t>E-UK</t>
  </si>
  <si>
    <t>E-NOR</t>
  </si>
  <si>
    <t>E-DEN</t>
  </si>
  <si>
    <t>E-BGM</t>
  </si>
  <si>
    <t>E-DE-GRO</t>
  </si>
  <si>
    <t>E-BE-ZAN</t>
  </si>
  <si>
    <t>E-DE-SIE</t>
  </si>
  <si>
    <t xml:space="preserve"> E-BWK</t>
  </si>
  <si>
    <t>E-DE-WSL</t>
  </si>
  <si>
    <t xml:space="preserve"> E-CST</t>
  </si>
  <si>
    <t xml:space="preserve"> E-DIM</t>
  </si>
  <si>
    <t xml:space="preserve"> E-DTC</t>
  </si>
  <si>
    <t xml:space="preserve"> E-EEM</t>
  </si>
  <si>
    <t xml:space="preserve"> E-EHV</t>
  </si>
  <si>
    <t xml:space="preserve"> E-ENS</t>
  </si>
  <si>
    <t xml:space="preserve"> E-GER</t>
  </si>
  <si>
    <t xml:space="preserve"> E-HGL</t>
  </si>
  <si>
    <t xml:space="preserve"> E-KIJ</t>
  </si>
  <si>
    <t xml:space="preserve"> E-LLS</t>
  </si>
  <si>
    <t xml:space="preserve"> E-LSM</t>
  </si>
  <si>
    <t xml:space="preserve"> E-MBT</t>
  </si>
  <si>
    <t xml:space="preserve"> E-MVL</t>
  </si>
  <si>
    <t xml:space="preserve"> E-MEE</t>
  </si>
  <si>
    <t xml:space="preserve"> E-OZN</t>
  </si>
  <si>
    <t xml:space="preserve"> E-OHK</t>
  </si>
  <si>
    <t xml:space="preserve"> E-RIL</t>
  </si>
  <si>
    <t xml:space="preserve"> E-SMH</t>
  </si>
  <si>
    <t xml:space="preserve"> E-TIL</t>
  </si>
  <si>
    <t xml:space="preserve"> E-VVL</t>
  </si>
  <si>
    <t xml:space="preserve"> E-VHZ</t>
  </si>
  <si>
    <t xml:space="preserve"> E-WTR</t>
  </si>
  <si>
    <t xml:space="preserve"> E-WEW</t>
  </si>
  <si>
    <t xml:space="preserve"> E-WES</t>
  </si>
  <si>
    <t xml:space="preserve"> E-ZYV</t>
  </si>
  <si>
    <t xml:space="preserve"> E-ZWO</t>
  </si>
  <si>
    <t>#</t>
  </si>
  <si>
    <t>Node_Name</t>
  </si>
  <si>
    <t>Name</t>
  </si>
  <si>
    <t>Latitude</t>
  </si>
  <si>
    <t>Longitude</t>
  </si>
  <si>
    <t>Notes</t>
  </si>
  <si>
    <t>NUTS_Code</t>
  </si>
  <si>
    <t>NUTS_Name</t>
  </si>
  <si>
    <t>Bergum</t>
  </si>
  <si>
    <t>Bergum (Burgum), Friesland, NL</t>
  </si>
  <si>
    <t>NL12</t>
  </si>
  <si>
    <t>Friesland</t>
  </si>
  <si>
    <t>E-BVW</t>
  </si>
  <si>
    <t>Beverwijk</t>
  </si>
  <si>
    <t>NL32</t>
  </si>
  <si>
    <t>Noord-Holland</t>
  </si>
  <si>
    <t>E-BWK</t>
  </si>
  <si>
    <t>Bleiswijk</t>
  </si>
  <si>
    <t>NL33</t>
  </si>
  <si>
    <t>Zuid-Holland</t>
  </si>
  <si>
    <t>E-BSL</t>
  </si>
  <si>
    <t>Borssele</t>
  </si>
  <si>
    <t>NL34</t>
  </si>
  <si>
    <t>Zeeland</t>
  </si>
  <si>
    <t>E-BMR</t>
  </si>
  <si>
    <t>Boxmeer</t>
  </si>
  <si>
    <t>NL41</t>
  </si>
  <si>
    <t>Noord-Brabant</t>
  </si>
  <si>
    <t>E-CST</t>
  </si>
  <si>
    <t>Crayestein</t>
  </si>
  <si>
    <t>Dordrecht (Crayestein), NL</t>
  </si>
  <si>
    <t>E-DIM</t>
  </si>
  <si>
    <t>Diemen</t>
  </si>
  <si>
    <t>E-DOD</t>
  </si>
  <si>
    <t>Dodewaard</t>
  </si>
  <si>
    <t>NL22</t>
  </si>
  <si>
    <t>Gelderland</t>
  </si>
  <si>
    <t>E-DTC</t>
  </si>
  <si>
    <t>Doetinchem</t>
  </si>
  <si>
    <t>E-EEM</t>
  </si>
  <si>
    <t>Eemshaven</t>
  </si>
  <si>
    <t>NL11</t>
  </si>
  <si>
    <t>Groningen</t>
  </si>
  <si>
    <t>E-EHV</t>
  </si>
  <si>
    <t>Eindhoven</t>
  </si>
  <si>
    <t>E-ENS</t>
  </si>
  <si>
    <t>Ens</t>
  </si>
  <si>
    <t>NL23</t>
  </si>
  <si>
    <t>Flevoland</t>
  </si>
  <si>
    <t>E-GER</t>
  </si>
  <si>
    <t>Geertruidenberg</t>
  </si>
  <si>
    <t>E-HGL</t>
  </si>
  <si>
    <t>Hengelo-Oele</t>
  </si>
  <si>
    <t>NL21</t>
  </si>
  <si>
    <t>Overijssel</t>
  </si>
  <si>
    <t>E-KIJ</t>
  </si>
  <si>
    <t>Krimpen</t>
  </si>
  <si>
    <t>Krimpen aan den IJssel, NL</t>
  </si>
  <si>
    <t>E-LLS</t>
  </si>
  <si>
    <t>Lelystad</t>
  </si>
  <si>
    <t>E-LSM</t>
  </si>
  <si>
    <t>Louwsmeer</t>
  </si>
  <si>
    <t>Friesland (Lousmeer), NL (est,)</t>
  </si>
  <si>
    <t>E-MBT</t>
  </si>
  <si>
    <t>Maasbracht</t>
  </si>
  <si>
    <t>NL42</t>
  </si>
  <si>
    <t>Limburg</t>
  </si>
  <si>
    <t>E-MVL</t>
  </si>
  <si>
    <t>Maasvlakte</t>
  </si>
  <si>
    <t>Rotterdam, NL</t>
  </si>
  <si>
    <t>E-MEE</t>
  </si>
  <si>
    <t>Meeden</t>
  </si>
  <si>
    <t>Groningen, NL</t>
  </si>
  <si>
    <t>E-OZN</t>
  </si>
  <si>
    <t>Oostzaan</t>
  </si>
  <si>
    <t>E-OHK</t>
  </si>
  <si>
    <t>Oudehaske</t>
  </si>
  <si>
    <t>Friesland, NL</t>
  </si>
  <si>
    <t>E-RIL</t>
  </si>
  <si>
    <t>Rilland</t>
  </si>
  <si>
    <t>E-SMH</t>
  </si>
  <si>
    <t>Simonshaven</t>
  </si>
  <si>
    <t>E-TIL</t>
  </si>
  <si>
    <t>Tilburg</t>
  </si>
  <si>
    <t>E-VVL</t>
  </si>
  <si>
    <t>Vierverlaten</t>
  </si>
  <si>
    <t>Hoogkerk, Groningen, NL</t>
  </si>
  <si>
    <t>E-VHZ</t>
  </si>
  <si>
    <t>Vijfhuizen</t>
  </si>
  <si>
    <t>E-WTR</t>
  </si>
  <si>
    <t>Wateringen</t>
  </si>
  <si>
    <t>E-WEW</t>
  </si>
  <si>
    <t>Weiwerd</t>
  </si>
  <si>
    <t>E-WES</t>
  </si>
  <si>
    <t>Westerlee</t>
  </si>
  <si>
    <t>E-ZYV</t>
  </si>
  <si>
    <t>Zeyerveen</t>
  </si>
  <si>
    <t>Drenthe, NL</t>
  </si>
  <si>
    <t>NL13</t>
  </si>
  <si>
    <t>Drenthe</t>
  </si>
  <si>
    <t>E-ZWO</t>
  </si>
  <si>
    <t>Zwolle</t>
  </si>
  <si>
    <t>E-BRK</t>
  </si>
  <si>
    <t>Breukelen Kortrijk</t>
  </si>
  <si>
    <t>NL UTRECHT</t>
  </si>
  <si>
    <t>NL31</t>
  </si>
  <si>
    <t>Utrecht</t>
  </si>
  <si>
    <t>Netherlands (central node)</t>
  </si>
  <si>
    <t>Amersfoort, regarded as Dutch "central node"</t>
  </si>
  <si>
    <t>Diele</t>
  </si>
  <si>
    <t>Germany - Bij groningen</t>
  </si>
  <si>
    <t>Gronau</t>
  </si>
  <si>
    <t>North Rhine-Westphalia, Germany | Bij enschede</t>
  </si>
  <si>
    <t>Siersdorf</t>
  </si>
  <si>
    <t>NRW, Germany | Bij Limburg</t>
  </si>
  <si>
    <t>Van Eyck, Kinrooi</t>
  </si>
  <si>
    <t>Kinrooi, Belgium, bij Limburg</t>
  </si>
  <si>
    <t>Zandvliet</t>
  </si>
  <si>
    <t>Antwerp/B, Belgium</t>
  </si>
  <si>
    <t>Wesel</t>
  </si>
  <si>
    <t>Germany - Bij Gelderland</t>
  </si>
  <si>
    <t>Grain BritNed</t>
  </si>
  <si>
    <t>UK, naar Maasvlakte</t>
  </si>
  <si>
    <t>Feda NordNed</t>
  </si>
  <si>
    <t>Norway</t>
  </si>
  <si>
    <t>Endrup COBRA</t>
  </si>
  <si>
    <t>Denmark</t>
  </si>
  <si>
    <t>E-HSW</t>
  </si>
  <si>
    <t>E-ZAN</t>
  </si>
  <si>
    <t>E-SIE</t>
  </si>
  <si>
    <t xml:space="preserve"> E-BE-ZAN</t>
  </si>
  <si>
    <t xml:space="preserve"> E-BE-EYC</t>
  </si>
  <si>
    <t xml:space="preserve"> E-DE-GRO</t>
  </si>
  <si>
    <t>E-GRO</t>
  </si>
  <si>
    <t>E-EYC</t>
  </si>
  <si>
    <t>E-DK</t>
  </si>
  <si>
    <t>E-DIE</t>
  </si>
  <si>
    <t>All 2-way connections!</t>
  </si>
  <si>
    <t>Div2</t>
  </si>
  <si>
    <t>Frequency</t>
  </si>
  <si>
    <t>Connections</t>
  </si>
  <si>
    <t>Connected nodes</t>
  </si>
  <si>
    <t>Node</t>
  </si>
  <si>
    <t>Node_A</t>
  </si>
  <si>
    <t>Node_B</t>
  </si>
  <si>
    <t>Status</t>
  </si>
  <si>
    <t>Length (km)</t>
  </si>
  <si>
    <t>IO- 2017 [MW]</t>
  </si>
  <si>
    <t>IO2050 
(all measures) [MW]</t>
  </si>
  <si>
    <t>IO2050
Effective capacity 2017 [MW]</t>
  </si>
  <si>
    <t>IO2050
Effective capacity 2050 [MW]</t>
  </si>
  <si>
    <t>Capacity 2050 II3050 INT [MW]</t>
  </si>
  <si>
    <t>Effective Capacity 2050 II3050 INT [MW]</t>
  </si>
  <si>
    <t>In Operation</t>
  </si>
  <si>
    <t>In Planning</t>
  </si>
  <si>
    <t>1645 MVA</t>
  </si>
  <si>
    <t>https://webkaart.hoogspanningsnet.com/index2.php#14/52.1476/4.9990</t>
  </si>
  <si>
    <t>TYNDP2024 - 2030 [MW]</t>
  </si>
  <si>
    <t>Both ways. Specify distance and exact nodes</t>
  </si>
  <si>
    <t>NED</t>
  </si>
  <si>
    <t>BEL</t>
  </si>
  <si>
    <t>DEN</t>
  </si>
  <si>
    <t>ENG</t>
  </si>
  <si>
    <t>GER</t>
  </si>
  <si>
    <t>NOR</t>
  </si>
  <si>
    <t>Existing:</t>
  </si>
  <si>
    <t>Original Length</t>
  </si>
  <si>
    <t>Original Capacity</t>
  </si>
  <si>
    <t>Length</t>
  </si>
  <si>
    <t>Capacity</t>
  </si>
  <si>
    <t>Comment</t>
  </si>
  <si>
    <t>Sources</t>
  </si>
  <si>
    <t>E-MEE,E-DE-DIE</t>
  </si>
  <si>
    <t>Diele, Germany</t>
  </si>
  <si>
    <t>16,92 km</t>
  </si>
  <si>
    <t>6 GW</t>
  </si>
  <si>
    <t>28 km</t>
  </si>
  <si>
    <t>2x1382 MVA</t>
  </si>
  <si>
    <t>https://www.hoogspanningsnet.com/artikel/mvdm-01-2021/</t>
  </si>
  <si>
    <t>E-RIL,E-BE-ZAN</t>
  </si>
  <si>
    <t>Zandvliet, Belgium</t>
  </si>
  <si>
    <t>6,7 km</t>
  </si>
  <si>
    <t>2x2635 MVA</t>
  </si>
  <si>
    <t>https://webkaart.hoogspanningsnet.com/index2.php#12/51.3944/4.2864</t>
  </si>
  <si>
    <t>E-MBT,E-DE-SIE</t>
  </si>
  <si>
    <t>Siersdorf, Germany</t>
  </si>
  <si>
    <t>10,6 km</t>
  </si>
  <si>
    <t>27,23 km</t>
  </si>
  <si>
    <t>1710 MVA</t>
  </si>
  <si>
    <t>https://webkaart.hoogspanningsnet.com/index2.php#11/51.0874/5.7925</t>
  </si>
  <si>
    <t>E-HGL,E-DE-GRO</t>
  </si>
  <si>
    <t>Gronau, Germany</t>
  </si>
  <si>
    <t>Hengelo</t>
  </si>
  <si>
    <t>5,4 km</t>
  </si>
  <si>
    <t>23 km</t>
  </si>
  <si>
    <t>2x 1790 MVA</t>
  </si>
  <si>
    <t>https://www.hoogspanningsnet.com/artikel/mvdm-06-2012/</t>
  </si>
  <si>
    <t>E-MBT,E-BE-EYC</t>
  </si>
  <si>
    <t>Kinrooi, Belgium</t>
  </si>
  <si>
    <t>8,47 km</t>
  </si>
  <si>
    <t>6 gw</t>
  </si>
  <si>
    <t>8,51 km</t>
  </si>
  <si>
    <t>1350 MVA</t>
  </si>
  <si>
    <t>https://www.tvl.be/nieuws/ondergrondse-kabel-van-kinrooi-tot-maasbracht-levert-nederlandse-stroom-aan-ons-land-73724</t>
  </si>
  <si>
    <t>E-DTC,E-DE-WSL</t>
  </si>
  <si>
    <t>Wesel, Germany</t>
  </si>
  <si>
    <t>34,7 km</t>
  </si>
  <si>
    <t>22,56 km</t>
  </si>
  <si>
    <t>2635 MVA</t>
  </si>
  <si>
    <t>https://www.rvo.nl/sites/default/files/2017/02/0512052%20DW%20380kV%20brochure_DEF.pdf</t>
  </si>
  <si>
    <t>E-MVL,E-UK</t>
  </si>
  <si>
    <t>Isle of Grain, Kent, UK</t>
  </si>
  <si>
    <t>104 km</t>
  </si>
  <si>
    <t>3 gw</t>
  </si>
  <si>
    <t>260 km</t>
  </si>
  <si>
    <t>1000 mw</t>
  </si>
  <si>
    <t>BritNed-kabel</t>
  </si>
  <si>
    <t>https://webkaart.hoogspanningsnet.com/index2.php#8/51.609/3.290</t>
  </si>
  <si>
    <t>https://www.tennet.eu/nl/projecten/britned</t>
  </si>
  <si>
    <t>E-EEM,E-NOR</t>
  </si>
  <si>
    <t>Feda, Norway</t>
  </si>
  <si>
    <t>347,99 km</t>
  </si>
  <si>
    <t>0,7 gw</t>
  </si>
  <si>
    <t>580 km</t>
  </si>
  <si>
    <t>700 MW</t>
  </si>
  <si>
    <t>NorNed-kabel</t>
  </si>
  <si>
    <t>https://www.tennet.eu/nl/projecten/norned</t>
  </si>
  <si>
    <t>E-EEM,E-DK</t>
  </si>
  <si>
    <t>Endrup, Denmark</t>
  </si>
  <si>
    <t>165,76 km</t>
  </si>
  <si>
    <t>325 km</t>
  </si>
  <si>
    <t>COBRAcable</t>
  </si>
  <si>
    <t>https://www.tennet.eu/nl/projecten/cobracable</t>
  </si>
  <si>
    <r>
      <t>Max. Transmission == max. Planned transmission expansion I-ELGAS 20</t>
    </r>
    <r>
      <rPr>
        <b/>
        <sz val="11"/>
        <color theme="1"/>
        <rFont val="Aptos Narrow"/>
        <family val="2"/>
        <scheme val="minor"/>
      </rPr>
      <t>50</t>
    </r>
  </si>
  <si>
    <t>ID NUTS-2</t>
  </si>
  <si>
    <t>ID</t>
  </si>
  <si>
    <t>Region</t>
  </si>
  <si>
    <t>Gemeentenaam</t>
  </si>
  <si>
    <t>ID grid node electricity</t>
  </si>
  <si>
    <t>E-BKR nodes</t>
  </si>
  <si>
    <t>NUTS Utrecht nodes</t>
  </si>
  <si>
    <t>ID Grid node methane</t>
  </si>
  <si>
    <t>Amersfoort</t>
  </si>
  <si>
    <t>G-RCP</t>
  </si>
  <si>
    <t>Baarn</t>
  </si>
  <si>
    <t>G-DIM</t>
  </si>
  <si>
    <t>De Bilt</t>
  </si>
  <si>
    <t>Bunnik</t>
  </si>
  <si>
    <t>Bunschoten</t>
  </si>
  <si>
    <t>Culemborg</t>
  </si>
  <si>
    <t>G-RAV</t>
  </si>
  <si>
    <t>Eemnes</t>
  </si>
  <si>
    <t>Hilversum</t>
  </si>
  <si>
    <t>Houten</t>
  </si>
  <si>
    <t>IJsselstein</t>
  </si>
  <si>
    <t>Leusden</t>
  </si>
  <si>
    <t>Lopik</t>
  </si>
  <si>
    <t>Montfoort</t>
  </si>
  <si>
    <t>Nieuwegein</t>
  </si>
  <si>
    <t>Nieuwkoop</t>
  </si>
  <si>
    <t>G-RDK</t>
  </si>
  <si>
    <t>Oudewater</t>
  </si>
  <si>
    <t>Renswoude</t>
  </si>
  <si>
    <t>Rhenen</t>
  </si>
  <si>
    <t>De Ronde Venen</t>
  </si>
  <si>
    <t>Soest</t>
  </si>
  <si>
    <t>Stichtse Vecht</t>
  </si>
  <si>
    <t>Uithoorn</t>
  </si>
  <si>
    <t>Utrechtse Heuvelrug</t>
  </si>
  <si>
    <t>Veenendaal</t>
  </si>
  <si>
    <t>Wijdemeren</t>
  </si>
  <si>
    <t>Wijk bij Duurstede</t>
  </si>
  <si>
    <t>Woerden</t>
  </si>
  <si>
    <t>Woudenberg</t>
  </si>
  <si>
    <t>Zeist</t>
  </si>
  <si>
    <t>E-BRK links toegevoegd</t>
  </si>
  <si>
    <t>E-BRK toegevoegd.
E-ZWO &amp; E-HVW samengevoegd tot E-ZWO</t>
  </si>
  <si>
    <t>Uitleg:</t>
  </si>
  <si>
    <t>Nodes</t>
  </si>
  <si>
    <t>Links</t>
  </si>
  <si>
    <t>E-BKR</t>
  </si>
  <si>
    <t>Links_overview</t>
  </si>
  <si>
    <t>Inputs</t>
  </si>
  <si>
    <t>Overzicht van nodes in mijn model. Toegevoegd: E-BKR (Breukelen), Samengevoegd: E-ZWO+E-HVW = E-ZWO</t>
  </si>
  <si>
    <t>Overzicht van links in mijn model. Toegevoegd: E-BKR links</t>
  </si>
  <si>
    <t>Bestaande interconnectors uit model Jochem hergebruikt en gevalideerd. Interconnectors Noorwegen en Denemarken toegevoegd</t>
  </si>
  <si>
    <t>Overzicht mapping gemeenten &amp; nodes naar E-BKR</t>
  </si>
  <si>
    <t>Extra overzicht van alle transmissielijnen</t>
  </si>
  <si>
    <t>Inputs gebruikt in mijn model, ter illustratie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</si>
</sst>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i/>
      <u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4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vertical="center" wrapText="1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164" fontId="1" fillId="0" borderId="0" xfId="0" applyNumberFormat="1" applyFont="1" applyAlignment="1">
      <alignment horizontal="center"/>
    </xf>
    <xf numFmtId="0" fontId="1" fillId="5" borderId="0" xfId="0" applyFont="1" applyFill="1"/>
    <xf numFmtId="0" fontId="0" fillId="0" borderId="3" xfId="0" applyBorder="1"/>
    <xf numFmtId="0" fontId="0" fillId="7" borderId="3" xfId="0" applyFill="1" applyBorder="1"/>
    <xf numFmtId="0" fontId="0" fillId="7" borderId="4" xfId="0" applyFill="1" applyBorder="1"/>
    <xf numFmtId="0" fontId="7" fillId="0" borderId="0" xfId="2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1" fillId="9" borderId="0" xfId="0" applyFont="1" applyFill="1" applyAlignment="1">
      <alignment horizontal="center"/>
    </xf>
    <xf numFmtId="0" fontId="8" fillId="9" borderId="0" xfId="2" applyFont="1" applyFill="1" applyAlignment="1">
      <alignment horizontal="center" wrapText="1"/>
    </xf>
    <xf numFmtId="0" fontId="5" fillId="0" borderId="0" xfId="1"/>
    <xf numFmtId="0" fontId="1" fillId="0" borderId="0" xfId="0" applyFont="1" applyAlignment="1">
      <alignment wrapText="1"/>
    </xf>
    <xf numFmtId="0" fontId="10" fillId="0" borderId="0" xfId="0" applyFont="1"/>
    <xf numFmtId="0" fontId="0" fillId="9" borderId="0" xfId="0" applyFill="1"/>
    <xf numFmtId="0" fontId="0" fillId="9" borderId="0" xfId="0" applyFill="1" applyAlignment="1">
      <alignment horizontal="center"/>
    </xf>
    <xf numFmtId="0" fontId="1" fillId="0" borderId="5" xfId="0" applyFont="1" applyBorder="1" applyAlignment="1">
      <alignment wrapText="1"/>
    </xf>
    <xf numFmtId="0" fontId="0" fillId="10" borderId="0" xfId="0" applyFill="1"/>
    <xf numFmtId="0" fontId="0" fillId="11" borderId="0" xfId="0" applyFill="1"/>
    <xf numFmtId="0" fontId="0" fillId="0" borderId="6" xfId="0" applyBorder="1"/>
    <xf numFmtId="0" fontId="9" fillId="2" borderId="0" xfId="0" applyFont="1" applyFill="1" applyAlignment="1">
      <alignment horizontal="center" vertical="center" wrapText="1"/>
    </xf>
    <xf numFmtId="0" fontId="1" fillId="7" borderId="3" xfId="0" applyFont="1" applyFill="1" applyBorder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9" borderId="0" xfId="0" applyFont="1" applyFill="1" applyAlignment="1">
      <alignment horizontal="center" wrapText="1"/>
    </xf>
    <xf numFmtId="0" fontId="1" fillId="9" borderId="0" xfId="0" applyFont="1" applyFill="1" applyAlignment="1">
      <alignment horizontal="center"/>
    </xf>
    <xf numFmtId="0" fontId="0" fillId="0" borderId="0" xfId="0" applyAlignment="1">
      <alignment wrapText="1"/>
    </xf>
    <xf numFmtId="0" fontId="11" fillId="9" borderId="0" xfId="0" applyFont="1" applyFill="1"/>
  </cellXfs>
  <cellStyles count="3">
    <cellStyle name="Hyperlink" xfId="1" builtinId="8"/>
    <cellStyle name="Normal" xfId="0" builtinId="0"/>
    <cellStyle name="Normal_Sheet1" xfId="2" xr:uid="{40DDECE6-1D5E-47F6-97B4-EA876A00398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ebkaart.hoogspanningsnet.com/index2.php" TargetMode="External"/><Relationship Id="rId1" Type="http://schemas.openxmlformats.org/officeDocument/2006/relationships/hyperlink" Target="https://webkaart.hoogspanningsnet.com/index2.php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ebkaart.hoogspanningsnet.com/index2.ph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hoogspanningsnet.com/artikel/mvdm-01-2021/" TargetMode="External"/><Relationship Id="rId1" Type="http://schemas.openxmlformats.org/officeDocument/2006/relationships/hyperlink" Target="https://www.tennet.eu/nl/projecten/norned" TargetMode="External"/><Relationship Id="rId6" Type="http://schemas.openxmlformats.org/officeDocument/2006/relationships/hyperlink" Target="https://www.tennet.eu/nl/projecten/cobracable" TargetMode="External"/><Relationship Id="rId5" Type="http://schemas.openxmlformats.org/officeDocument/2006/relationships/hyperlink" Target="https://www.tennet.eu/nl/projecten/britned" TargetMode="External"/><Relationship Id="rId4" Type="http://schemas.openxmlformats.org/officeDocument/2006/relationships/hyperlink" Target="https://www.tvl.be/nieuws/ondergrondse-kabel-van-kinrooi-tot-maasbracht-levert-nederlandse-stroom-aan-ons-land-737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0838-F83F-47E1-BF95-BD73E199BE8A}">
  <dimension ref="A2:B8"/>
  <sheetViews>
    <sheetView tabSelected="1" workbookViewId="0">
      <selection activeCell="B9" sqref="B9"/>
    </sheetView>
  </sheetViews>
  <sheetFormatPr defaultRowHeight="14.5" x14ac:dyDescent="0.35"/>
  <cols>
    <col min="1" max="1" width="18.54296875" customWidth="1"/>
    <col min="2" max="2" width="54.26953125" customWidth="1"/>
  </cols>
  <sheetData>
    <row r="2" spans="1:2" x14ac:dyDescent="0.35">
      <c r="A2" s="4" t="s">
        <v>371</v>
      </c>
    </row>
    <row r="3" spans="1:2" ht="35" customHeight="1" x14ac:dyDescent="0.35">
      <c r="A3" t="s">
        <v>372</v>
      </c>
      <c r="B3" s="47" t="s">
        <v>377</v>
      </c>
    </row>
    <row r="4" spans="1:2" ht="22" customHeight="1" x14ac:dyDescent="0.35">
      <c r="A4" t="s">
        <v>373</v>
      </c>
      <c r="B4" t="s">
        <v>378</v>
      </c>
    </row>
    <row r="5" spans="1:2" ht="54" customHeight="1" x14ac:dyDescent="0.35">
      <c r="A5" t="s">
        <v>55</v>
      </c>
      <c r="B5" s="47" t="s">
        <v>379</v>
      </c>
    </row>
    <row r="6" spans="1:2" ht="20.5" customHeight="1" x14ac:dyDescent="0.35">
      <c r="A6" t="s">
        <v>374</v>
      </c>
      <c r="B6" t="s">
        <v>380</v>
      </c>
    </row>
    <row r="7" spans="1:2" x14ac:dyDescent="0.35">
      <c r="A7" t="s">
        <v>375</v>
      </c>
      <c r="B7" s="47" t="s">
        <v>381</v>
      </c>
    </row>
    <row r="8" spans="1:2" x14ac:dyDescent="0.35">
      <c r="A8" t="s">
        <v>376</v>
      </c>
      <c r="B8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0624-C442-495E-9810-CD3BA1A34F5E}">
  <sheetPr codeName="Sheet1"/>
  <dimension ref="A1:J52"/>
  <sheetViews>
    <sheetView zoomScale="85" zoomScaleNormal="85" workbookViewId="0">
      <selection activeCell="F52" sqref="F52"/>
    </sheetView>
  </sheetViews>
  <sheetFormatPr defaultRowHeight="14.5" x14ac:dyDescent="0.35"/>
  <cols>
    <col min="1" max="1" width="2.81640625" style="9" bestFit="1" customWidth="1"/>
    <col min="2" max="2" width="10.90625" style="9" bestFit="1" customWidth="1"/>
    <col min="3" max="3" width="23.7265625" bestFit="1" customWidth="1"/>
    <col min="4" max="5" width="11.81640625" style="9" bestFit="1" customWidth="1"/>
    <col min="6" max="6" width="43.36328125" customWidth="1"/>
    <col min="7" max="7" width="12.90625" style="9" customWidth="1"/>
    <col min="8" max="8" width="16.54296875" customWidth="1"/>
    <col min="9" max="9" width="10.36328125" bestFit="1" customWidth="1"/>
    <col min="10" max="10" width="18.90625" bestFit="1" customWidth="1"/>
    <col min="11" max="11" width="22.7265625" bestFit="1" customWidth="1"/>
    <col min="12" max="12" width="10.90625" bestFit="1" customWidth="1"/>
  </cols>
  <sheetData>
    <row r="1" spans="1:10" x14ac:dyDescent="0.35">
      <c r="A1" s="16" t="s">
        <v>94</v>
      </c>
      <c r="B1" s="16" t="s">
        <v>95</v>
      </c>
      <c r="C1" s="4" t="s">
        <v>96</v>
      </c>
      <c r="D1" s="17" t="s">
        <v>97</v>
      </c>
      <c r="E1" s="17" t="s">
        <v>98</v>
      </c>
      <c r="F1" s="4" t="s">
        <v>99</v>
      </c>
      <c r="G1" s="16" t="s">
        <v>100</v>
      </c>
      <c r="H1" s="4" t="s">
        <v>101</v>
      </c>
    </row>
    <row r="2" spans="1:10" x14ac:dyDescent="0.35">
      <c r="A2" s="9">
        <v>1</v>
      </c>
      <c r="B2" s="9" t="s">
        <v>62</v>
      </c>
      <c r="C2" s="18" t="s">
        <v>102</v>
      </c>
      <c r="D2" s="12">
        <v>53.212499999999999</v>
      </c>
      <c r="E2" s="12">
        <v>6.0286999999999997</v>
      </c>
      <c r="F2" t="s">
        <v>103</v>
      </c>
      <c r="G2" s="9" t="s">
        <v>104</v>
      </c>
      <c r="H2" t="s">
        <v>105</v>
      </c>
    </row>
    <row r="3" spans="1:10" x14ac:dyDescent="0.35">
      <c r="A3" s="9">
        <v>2</v>
      </c>
      <c r="B3" s="9" t="s">
        <v>106</v>
      </c>
      <c r="C3" s="18" t="s">
        <v>107</v>
      </c>
      <c r="D3" s="12">
        <v>52.473700000000001</v>
      </c>
      <c r="E3" s="12">
        <v>4.6795999999999998</v>
      </c>
      <c r="F3" t="s">
        <v>56</v>
      </c>
      <c r="G3" s="9" t="s">
        <v>108</v>
      </c>
      <c r="H3" t="s">
        <v>109</v>
      </c>
    </row>
    <row r="4" spans="1:10" x14ac:dyDescent="0.35">
      <c r="A4" s="9">
        <v>3</v>
      </c>
      <c r="B4" s="9" t="s">
        <v>110</v>
      </c>
      <c r="C4" s="18" t="s">
        <v>111</v>
      </c>
      <c r="D4" s="12">
        <v>52.037100000000002</v>
      </c>
      <c r="E4" s="12">
        <v>4.5294999999999996</v>
      </c>
      <c r="F4" t="s">
        <v>56</v>
      </c>
      <c r="G4" s="9" t="s">
        <v>112</v>
      </c>
      <c r="H4" t="s">
        <v>113</v>
      </c>
    </row>
    <row r="5" spans="1:10" x14ac:dyDescent="0.35">
      <c r="A5" s="9">
        <v>4</v>
      </c>
      <c r="B5" s="9" t="s">
        <v>114</v>
      </c>
      <c r="C5" s="18" t="s">
        <v>115</v>
      </c>
      <c r="D5" s="12">
        <v>51.433399999999999</v>
      </c>
      <c r="E5" s="12">
        <v>3.7275999999999998</v>
      </c>
      <c r="F5" t="s">
        <v>56</v>
      </c>
      <c r="G5" s="9" t="s">
        <v>116</v>
      </c>
      <c r="H5" t="s">
        <v>117</v>
      </c>
    </row>
    <row r="6" spans="1:10" x14ac:dyDescent="0.35">
      <c r="A6" s="9">
        <v>5</v>
      </c>
      <c r="B6" s="9" t="s">
        <v>118</v>
      </c>
      <c r="C6" s="18" t="s">
        <v>119</v>
      </c>
      <c r="D6" s="12">
        <v>51.638599999999997</v>
      </c>
      <c r="E6" s="12">
        <v>5.9128999999999996</v>
      </c>
      <c r="F6" t="s">
        <v>56</v>
      </c>
      <c r="G6" s="9" t="s">
        <v>120</v>
      </c>
      <c r="H6" t="s">
        <v>121</v>
      </c>
    </row>
    <row r="7" spans="1:10" x14ac:dyDescent="0.35">
      <c r="A7" s="9">
        <v>6</v>
      </c>
      <c r="B7" s="9" t="s">
        <v>122</v>
      </c>
      <c r="C7" s="18" t="s">
        <v>123</v>
      </c>
      <c r="D7" s="12">
        <v>51.814100000000003</v>
      </c>
      <c r="E7" s="12">
        <v>4.7485999999999997</v>
      </c>
      <c r="F7" t="s">
        <v>124</v>
      </c>
      <c r="G7" s="9" t="s">
        <v>112</v>
      </c>
      <c r="H7" t="s">
        <v>113</v>
      </c>
    </row>
    <row r="8" spans="1:10" x14ac:dyDescent="0.35">
      <c r="A8" s="9">
        <v>8</v>
      </c>
      <c r="B8" s="9" t="s">
        <v>125</v>
      </c>
      <c r="C8" s="18" t="s">
        <v>126</v>
      </c>
      <c r="D8" s="12">
        <v>52.3369</v>
      </c>
      <c r="E8" s="12">
        <v>5.0143000000000004</v>
      </c>
      <c r="F8" t="s">
        <v>56</v>
      </c>
      <c r="G8" s="9" t="s">
        <v>108</v>
      </c>
      <c r="H8" t="s">
        <v>109</v>
      </c>
    </row>
    <row r="9" spans="1:10" x14ac:dyDescent="0.35">
      <c r="A9" s="9">
        <v>9</v>
      </c>
      <c r="B9" s="9" t="s">
        <v>127</v>
      </c>
      <c r="C9" s="18" t="s">
        <v>128</v>
      </c>
      <c r="D9" s="12">
        <v>51.9268</v>
      </c>
      <c r="E9" s="12">
        <v>5.6638000000000002</v>
      </c>
      <c r="F9" t="s">
        <v>56</v>
      </c>
      <c r="G9" s="9" t="s">
        <v>129</v>
      </c>
      <c r="H9" t="s">
        <v>130</v>
      </c>
    </row>
    <row r="10" spans="1:10" x14ac:dyDescent="0.35">
      <c r="A10" s="9">
        <v>10</v>
      </c>
      <c r="B10" s="9" t="s">
        <v>131</v>
      </c>
      <c r="C10" s="18" t="s">
        <v>132</v>
      </c>
      <c r="D10" s="12">
        <v>51.981999999999999</v>
      </c>
      <c r="E10" s="12">
        <v>6.2523</v>
      </c>
      <c r="F10" t="s">
        <v>56</v>
      </c>
      <c r="G10" s="9" t="s">
        <v>129</v>
      </c>
      <c r="H10" t="s">
        <v>130</v>
      </c>
    </row>
    <row r="11" spans="1:10" x14ac:dyDescent="0.35">
      <c r="A11" s="9">
        <v>11</v>
      </c>
      <c r="B11" s="9" t="s">
        <v>133</v>
      </c>
      <c r="C11" s="18" t="s">
        <v>134</v>
      </c>
      <c r="D11" s="12">
        <v>53.425400000000003</v>
      </c>
      <c r="E11" s="12">
        <v>6.8742000000000001</v>
      </c>
      <c r="F11" t="s">
        <v>56</v>
      </c>
      <c r="G11" s="9" t="s">
        <v>135</v>
      </c>
      <c r="H11" t="s">
        <v>136</v>
      </c>
      <c r="J11" s="9"/>
    </row>
    <row r="12" spans="1:10" x14ac:dyDescent="0.35">
      <c r="A12" s="9">
        <v>12</v>
      </c>
      <c r="B12" s="9" t="s">
        <v>137</v>
      </c>
      <c r="C12" s="18" t="s">
        <v>138</v>
      </c>
      <c r="D12" s="12">
        <v>51.446599999999997</v>
      </c>
      <c r="E12" s="12">
        <v>5.5326000000000004</v>
      </c>
      <c r="F12" t="s">
        <v>56</v>
      </c>
      <c r="G12" s="9" t="s">
        <v>120</v>
      </c>
      <c r="H12" t="s">
        <v>121</v>
      </c>
      <c r="J12" s="9"/>
    </row>
    <row r="13" spans="1:10" x14ac:dyDescent="0.35">
      <c r="A13" s="9">
        <v>13</v>
      </c>
      <c r="B13" s="9" t="s">
        <v>139</v>
      </c>
      <c r="C13" s="18" t="s">
        <v>140</v>
      </c>
      <c r="D13" s="12">
        <v>52.617199999999997</v>
      </c>
      <c r="E13" s="12">
        <v>5.8087999999999997</v>
      </c>
      <c r="F13" t="s">
        <v>56</v>
      </c>
      <c r="G13" s="9" t="s">
        <v>141</v>
      </c>
      <c r="H13" t="s">
        <v>142</v>
      </c>
      <c r="J13" s="9"/>
    </row>
    <row r="14" spans="1:10" x14ac:dyDescent="0.35">
      <c r="A14" s="9">
        <v>14</v>
      </c>
      <c r="B14" s="9" t="s">
        <v>143</v>
      </c>
      <c r="C14" s="18" t="s">
        <v>144</v>
      </c>
      <c r="D14" s="12">
        <v>51.700899999999997</v>
      </c>
      <c r="E14" s="12">
        <v>4.8331</v>
      </c>
      <c r="F14" t="s">
        <v>56</v>
      </c>
      <c r="G14" s="9" t="s">
        <v>120</v>
      </c>
      <c r="H14" t="s">
        <v>121</v>
      </c>
    </row>
    <row r="15" spans="1:10" x14ac:dyDescent="0.35">
      <c r="A15" s="9">
        <v>16</v>
      </c>
      <c r="B15" s="9" t="s">
        <v>145</v>
      </c>
      <c r="C15" s="18" t="s">
        <v>146</v>
      </c>
      <c r="D15" s="12">
        <v>52.248800000000003</v>
      </c>
      <c r="E15" s="12">
        <v>6.7591000000000001</v>
      </c>
      <c r="F15" t="s">
        <v>56</v>
      </c>
      <c r="G15" s="9" t="s">
        <v>147</v>
      </c>
      <c r="H15" t="s">
        <v>148</v>
      </c>
    </row>
    <row r="16" spans="1:10" x14ac:dyDescent="0.35">
      <c r="A16" s="9">
        <v>18</v>
      </c>
      <c r="B16" s="9" t="s">
        <v>149</v>
      </c>
      <c r="C16" s="18" t="s">
        <v>150</v>
      </c>
      <c r="D16" s="12">
        <v>51.914299999999997</v>
      </c>
      <c r="E16" s="12">
        <v>4.6308999999999996</v>
      </c>
      <c r="F16" t="s">
        <v>151</v>
      </c>
      <c r="G16" s="9" t="s">
        <v>112</v>
      </c>
      <c r="H16" t="s">
        <v>113</v>
      </c>
    </row>
    <row r="17" spans="1:8" x14ac:dyDescent="0.35">
      <c r="A17" s="9">
        <v>19</v>
      </c>
      <c r="B17" s="9" t="s">
        <v>152</v>
      </c>
      <c r="C17" s="18" t="s">
        <v>153</v>
      </c>
      <c r="D17" s="12">
        <v>52.576700000000002</v>
      </c>
      <c r="E17" s="12">
        <v>5.5387000000000004</v>
      </c>
      <c r="F17" t="s">
        <v>56</v>
      </c>
      <c r="G17" s="9" t="s">
        <v>141</v>
      </c>
      <c r="H17" t="s">
        <v>142</v>
      </c>
    </row>
    <row r="18" spans="1:8" x14ac:dyDescent="0.35">
      <c r="A18" s="9">
        <v>20</v>
      </c>
      <c r="B18" s="9" t="s">
        <v>154</v>
      </c>
      <c r="C18" s="18" t="s">
        <v>155</v>
      </c>
      <c r="D18" s="12">
        <v>53.189900000000002</v>
      </c>
      <c r="E18" s="12">
        <v>5.8756000000000004</v>
      </c>
      <c r="F18" t="s">
        <v>156</v>
      </c>
      <c r="G18" s="9" t="s">
        <v>104</v>
      </c>
      <c r="H18" t="s">
        <v>105</v>
      </c>
    </row>
    <row r="19" spans="1:8" x14ac:dyDescent="0.35">
      <c r="A19" s="9">
        <v>21</v>
      </c>
      <c r="B19" s="9" t="s">
        <v>157</v>
      </c>
      <c r="C19" s="18" t="s">
        <v>158</v>
      </c>
      <c r="D19" s="12">
        <v>51.148899999999998</v>
      </c>
      <c r="E19" s="12">
        <v>5.9189999999999996</v>
      </c>
      <c r="F19" t="s">
        <v>56</v>
      </c>
      <c r="G19" s="9" t="s">
        <v>159</v>
      </c>
      <c r="H19" t="s">
        <v>160</v>
      </c>
    </row>
    <row r="20" spans="1:8" x14ac:dyDescent="0.35">
      <c r="A20" s="9">
        <v>22</v>
      </c>
      <c r="B20" s="9" t="s">
        <v>161</v>
      </c>
      <c r="C20" s="18" t="s">
        <v>162</v>
      </c>
      <c r="D20" s="12">
        <v>51.9557</v>
      </c>
      <c r="E20" s="12">
        <v>4.0220000000000002</v>
      </c>
      <c r="F20" t="s">
        <v>163</v>
      </c>
      <c r="G20" s="9" t="s">
        <v>112</v>
      </c>
      <c r="H20" t="s">
        <v>113</v>
      </c>
    </row>
    <row r="21" spans="1:8" x14ac:dyDescent="0.35">
      <c r="A21" s="9">
        <v>23</v>
      </c>
      <c r="B21" s="9" t="s">
        <v>164</v>
      </c>
      <c r="C21" s="18" t="s">
        <v>165</v>
      </c>
      <c r="D21" s="12">
        <v>53.1235</v>
      </c>
      <c r="E21" s="12">
        <v>6.9497</v>
      </c>
      <c r="F21" t="s">
        <v>166</v>
      </c>
      <c r="G21" s="9" t="s">
        <v>135</v>
      </c>
      <c r="H21" t="s">
        <v>136</v>
      </c>
    </row>
    <row r="22" spans="1:8" x14ac:dyDescent="0.35">
      <c r="A22" s="9">
        <v>24</v>
      </c>
      <c r="B22" s="9" t="s">
        <v>167</v>
      </c>
      <c r="C22" s="18" t="s">
        <v>168</v>
      </c>
      <c r="D22" s="12">
        <v>52.428800000000003</v>
      </c>
      <c r="E22" s="12">
        <v>4.8761999999999999</v>
      </c>
      <c r="F22" t="s">
        <v>56</v>
      </c>
      <c r="G22" s="9" t="s">
        <v>108</v>
      </c>
      <c r="H22" t="s">
        <v>109</v>
      </c>
    </row>
    <row r="23" spans="1:8" x14ac:dyDescent="0.35">
      <c r="A23" s="9">
        <v>25</v>
      </c>
      <c r="B23" s="9" t="s">
        <v>169</v>
      </c>
      <c r="C23" s="18" t="s">
        <v>170</v>
      </c>
      <c r="D23" s="12">
        <v>52.973300000000002</v>
      </c>
      <c r="E23" s="12">
        <v>5.8715999999999999</v>
      </c>
      <c r="F23" t="s">
        <v>171</v>
      </c>
      <c r="G23" s="9" t="s">
        <v>104</v>
      </c>
      <c r="H23" t="s">
        <v>105</v>
      </c>
    </row>
    <row r="24" spans="1:8" x14ac:dyDescent="0.35">
      <c r="A24" s="9">
        <v>26</v>
      </c>
      <c r="B24" s="9" t="s">
        <v>172</v>
      </c>
      <c r="C24" s="18" t="s">
        <v>173</v>
      </c>
      <c r="D24" s="12">
        <v>51.424500000000002</v>
      </c>
      <c r="E24" s="12">
        <v>4.2182000000000004</v>
      </c>
      <c r="F24" t="s">
        <v>56</v>
      </c>
      <c r="G24" s="9" t="s">
        <v>116</v>
      </c>
      <c r="H24" t="s">
        <v>117</v>
      </c>
    </row>
    <row r="25" spans="1:8" x14ac:dyDescent="0.35">
      <c r="A25" s="9">
        <v>28</v>
      </c>
      <c r="B25" s="9" t="s">
        <v>174</v>
      </c>
      <c r="C25" s="18" t="s">
        <v>175</v>
      </c>
      <c r="D25" s="12">
        <v>51.839199999999998</v>
      </c>
      <c r="E25" s="12">
        <v>4.2655000000000003</v>
      </c>
      <c r="F25" t="s">
        <v>56</v>
      </c>
      <c r="G25" s="9" t="s">
        <v>112</v>
      </c>
      <c r="H25" t="s">
        <v>113</v>
      </c>
    </row>
    <row r="26" spans="1:8" x14ac:dyDescent="0.35">
      <c r="A26" s="9">
        <v>29</v>
      </c>
      <c r="B26" s="9" t="s">
        <v>176</v>
      </c>
      <c r="C26" s="19" t="s">
        <v>177</v>
      </c>
      <c r="D26" s="12">
        <v>51.555500000000002</v>
      </c>
      <c r="E26" s="12">
        <v>5.0913000000000004</v>
      </c>
      <c r="F26" t="s">
        <v>56</v>
      </c>
      <c r="G26" s="9" t="s">
        <v>120</v>
      </c>
      <c r="H26" t="s">
        <v>121</v>
      </c>
    </row>
    <row r="27" spans="1:8" x14ac:dyDescent="0.35">
      <c r="A27" s="9">
        <v>31</v>
      </c>
      <c r="B27" s="9" t="s">
        <v>178</v>
      </c>
      <c r="C27" s="18" t="s">
        <v>179</v>
      </c>
      <c r="D27" s="12">
        <v>53.213500000000003</v>
      </c>
      <c r="E27" s="12">
        <v>6.4752000000000001</v>
      </c>
      <c r="F27" t="s">
        <v>180</v>
      </c>
      <c r="G27" s="9" t="s">
        <v>135</v>
      </c>
      <c r="H27" t="s">
        <v>136</v>
      </c>
    </row>
    <row r="28" spans="1:8" x14ac:dyDescent="0.35">
      <c r="A28" s="9">
        <v>32</v>
      </c>
      <c r="B28" s="9" t="s">
        <v>181</v>
      </c>
      <c r="C28" s="18" t="s">
        <v>182</v>
      </c>
      <c r="D28" s="12">
        <v>52.373699999999999</v>
      </c>
      <c r="E28" s="12">
        <v>4.6947999999999999</v>
      </c>
      <c r="F28" t="s">
        <v>56</v>
      </c>
      <c r="G28" s="9" t="s">
        <v>108</v>
      </c>
      <c r="H28" t="s">
        <v>109</v>
      </c>
    </row>
    <row r="29" spans="1:8" x14ac:dyDescent="0.35">
      <c r="A29" s="9">
        <v>33</v>
      </c>
      <c r="B29" s="9" t="s">
        <v>183</v>
      </c>
      <c r="C29" s="18" t="s">
        <v>184</v>
      </c>
      <c r="D29" s="12">
        <v>52.015900000000002</v>
      </c>
      <c r="E29" s="12">
        <v>4.3067000000000002</v>
      </c>
      <c r="F29" t="s">
        <v>56</v>
      </c>
      <c r="G29" s="9" t="s">
        <v>112</v>
      </c>
      <c r="H29" t="s">
        <v>113</v>
      </c>
    </row>
    <row r="30" spans="1:8" x14ac:dyDescent="0.35">
      <c r="A30" s="9">
        <v>34</v>
      </c>
      <c r="B30" s="9" t="s">
        <v>185</v>
      </c>
      <c r="C30" s="18" t="s">
        <v>186</v>
      </c>
      <c r="D30" s="12">
        <v>53.303400000000003</v>
      </c>
      <c r="E30" s="12">
        <v>6.9565999999999999</v>
      </c>
      <c r="F30" t="s">
        <v>166</v>
      </c>
      <c r="G30" s="9" t="s">
        <v>135</v>
      </c>
      <c r="H30" t="s">
        <v>136</v>
      </c>
    </row>
    <row r="31" spans="1:8" x14ac:dyDescent="0.35">
      <c r="A31" s="9">
        <v>35</v>
      </c>
      <c r="B31" s="9" t="s">
        <v>187</v>
      </c>
      <c r="C31" s="18" t="s">
        <v>188</v>
      </c>
      <c r="D31" s="12">
        <v>51.982500000000002</v>
      </c>
      <c r="E31" s="12">
        <v>4.2241999999999997</v>
      </c>
      <c r="F31" t="s">
        <v>113</v>
      </c>
      <c r="G31" s="9" t="s">
        <v>112</v>
      </c>
      <c r="H31" t="s">
        <v>113</v>
      </c>
    </row>
    <row r="32" spans="1:8" x14ac:dyDescent="0.35">
      <c r="A32" s="9">
        <v>37</v>
      </c>
      <c r="B32" s="9" t="s">
        <v>189</v>
      </c>
      <c r="C32" s="18" t="s">
        <v>190</v>
      </c>
      <c r="D32" s="12">
        <v>53.009700000000002</v>
      </c>
      <c r="E32" s="12">
        <v>6.524</v>
      </c>
      <c r="F32" t="s">
        <v>191</v>
      </c>
      <c r="G32" s="9" t="s">
        <v>192</v>
      </c>
      <c r="H32" t="s">
        <v>193</v>
      </c>
    </row>
    <row r="33" spans="1:8" x14ac:dyDescent="0.35">
      <c r="A33" s="9">
        <v>38</v>
      </c>
      <c r="B33" s="9" t="s">
        <v>194</v>
      </c>
      <c r="C33" s="18" t="s">
        <v>195</v>
      </c>
      <c r="D33" s="12">
        <v>52.529899999999998</v>
      </c>
      <c r="E33" s="12">
        <v>6.1901999999999999</v>
      </c>
      <c r="F33" t="s">
        <v>56</v>
      </c>
      <c r="G33" s="9" t="s">
        <v>147</v>
      </c>
      <c r="H33" t="s">
        <v>148</v>
      </c>
    </row>
    <row r="34" spans="1:8" x14ac:dyDescent="0.35">
      <c r="A34" s="9">
        <v>46</v>
      </c>
      <c r="B34" s="43" t="s">
        <v>196</v>
      </c>
      <c r="C34" s="20" t="s">
        <v>197</v>
      </c>
      <c r="D34" s="12">
        <v>52.160299999999999</v>
      </c>
      <c r="E34" s="12">
        <v>4.9870000000000001</v>
      </c>
      <c r="F34" t="s">
        <v>198</v>
      </c>
      <c r="G34" s="9" t="s">
        <v>199</v>
      </c>
      <c r="H34" t="s">
        <v>200</v>
      </c>
    </row>
    <row r="35" spans="1:8" x14ac:dyDescent="0.35">
      <c r="B35" s="9" t="s">
        <v>56</v>
      </c>
      <c r="C35" t="s">
        <v>201</v>
      </c>
      <c r="D35" s="12">
        <v>52.088313999864702</v>
      </c>
      <c r="E35" s="12">
        <v>5.3291269064472999</v>
      </c>
      <c r="F35" t="s">
        <v>202</v>
      </c>
    </row>
    <row r="36" spans="1:8" x14ac:dyDescent="0.35">
      <c r="B36"/>
      <c r="D36"/>
      <c r="E36"/>
    </row>
    <row r="37" spans="1:8" x14ac:dyDescent="0.35">
      <c r="A37" s="9">
        <v>7</v>
      </c>
      <c r="B37" s="16" t="s">
        <v>57</v>
      </c>
      <c r="C37" s="21" t="s">
        <v>203</v>
      </c>
      <c r="D37" s="22">
        <v>53.125799999999998</v>
      </c>
      <c r="E37" s="22">
        <v>7.3131000000000004</v>
      </c>
      <c r="F37" s="4" t="s">
        <v>204</v>
      </c>
    </row>
    <row r="38" spans="1:8" x14ac:dyDescent="0.35">
      <c r="A38" s="9">
        <v>15</v>
      </c>
      <c r="B38" s="16" t="s">
        <v>63</v>
      </c>
      <c r="C38" s="21" t="s">
        <v>205</v>
      </c>
      <c r="D38" s="22">
        <v>52.203400000000002</v>
      </c>
      <c r="E38" s="22">
        <v>7.0346000000000002</v>
      </c>
      <c r="F38" s="4" t="s">
        <v>206</v>
      </c>
    </row>
    <row r="39" spans="1:8" x14ac:dyDescent="0.35">
      <c r="A39" s="9">
        <v>39</v>
      </c>
      <c r="B39" s="16" t="s">
        <v>65</v>
      </c>
      <c r="C39" s="21" t="s">
        <v>207</v>
      </c>
      <c r="D39" s="22">
        <v>50.912300000000002</v>
      </c>
      <c r="E39" s="22">
        <v>6.2161</v>
      </c>
      <c r="F39" s="4" t="s">
        <v>208</v>
      </c>
    </row>
    <row r="40" spans="1:8" x14ac:dyDescent="0.35">
      <c r="A40" s="9">
        <v>40</v>
      </c>
      <c r="B40" s="16" t="s">
        <v>58</v>
      </c>
      <c r="C40" s="21" t="s">
        <v>209</v>
      </c>
      <c r="D40" s="22">
        <v>51.121099999999998</v>
      </c>
      <c r="E40" s="22">
        <v>5.7742000000000004</v>
      </c>
      <c r="F40" s="4" t="s">
        <v>210</v>
      </c>
    </row>
    <row r="41" spans="1:8" x14ac:dyDescent="0.35">
      <c r="A41" s="9">
        <v>41</v>
      </c>
      <c r="B41" s="16" t="s">
        <v>64</v>
      </c>
      <c r="C41" s="21" t="s">
        <v>211</v>
      </c>
      <c r="D41" s="22">
        <v>51.368899999999996</v>
      </c>
      <c r="E41" s="22">
        <v>4.2485999999999997</v>
      </c>
      <c r="F41" s="4" t="s">
        <v>212</v>
      </c>
    </row>
    <row r="42" spans="1:8" x14ac:dyDescent="0.35">
      <c r="A42" s="9">
        <v>42</v>
      </c>
      <c r="B42" s="16" t="s">
        <v>67</v>
      </c>
      <c r="C42" s="23" t="s">
        <v>213</v>
      </c>
      <c r="D42" s="22">
        <v>51.657690899999999</v>
      </c>
      <c r="E42" s="22">
        <v>6.6170869999999997</v>
      </c>
      <c r="F42" s="4" t="s">
        <v>214</v>
      </c>
    </row>
    <row r="43" spans="1:8" x14ac:dyDescent="0.35">
      <c r="A43" s="9">
        <v>43</v>
      </c>
      <c r="B43" s="16" t="s">
        <v>59</v>
      </c>
      <c r="C43" s="21" t="s">
        <v>215</v>
      </c>
      <c r="D43" s="22">
        <v>51.440600000000003</v>
      </c>
      <c r="E43" s="22">
        <v>0.7157</v>
      </c>
      <c r="F43" s="4" t="s">
        <v>216</v>
      </c>
    </row>
    <row r="44" spans="1:8" x14ac:dyDescent="0.35">
      <c r="A44" s="9">
        <v>44</v>
      </c>
      <c r="B44" s="16" t="s">
        <v>60</v>
      </c>
      <c r="C44" s="21" t="s">
        <v>217</v>
      </c>
      <c r="D44" s="22">
        <v>58.282699999999998</v>
      </c>
      <c r="E44" s="22">
        <v>6.8672000000000004</v>
      </c>
      <c r="F44" s="4" t="s">
        <v>218</v>
      </c>
    </row>
    <row r="45" spans="1:8" x14ac:dyDescent="0.35">
      <c r="A45" s="9">
        <v>45</v>
      </c>
      <c r="B45" s="16" t="s">
        <v>61</v>
      </c>
      <c r="C45" s="21" t="s">
        <v>219</v>
      </c>
      <c r="D45" s="22">
        <v>55.530099999999997</v>
      </c>
      <c r="E45" s="22">
        <v>8.7047000000000008</v>
      </c>
      <c r="F45" s="4" t="s">
        <v>220</v>
      </c>
    </row>
    <row r="48" spans="1:8" x14ac:dyDescent="0.35">
      <c r="B48" s="45" t="s">
        <v>370</v>
      </c>
      <c r="C48" s="46"/>
      <c r="D48" s="46"/>
    </row>
    <row r="49" spans="2:5" x14ac:dyDescent="0.35">
      <c r="B49" s="46"/>
      <c r="C49" s="46"/>
      <c r="D49" s="46"/>
      <c r="E49" s="12"/>
    </row>
    <row r="50" spans="2:5" x14ac:dyDescent="0.35">
      <c r="B50" s="46"/>
      <c r="C50" s="46"/>
      <c r="D50" s="46"/>
      <c r="E50" s="12"/>
    </row>
    <row r="51" spans="2:5" x14ac:dyDescent="0.35">
      <c r="B51" s="46"/>
      <c r="C51" s="46"/>
      <c r="D51" s="46"/>
      <c r="E51" s="12"/>
    </row>
    <row r="52" spans="2:5" x14ac:dyDescent="0.35">
      <c r="B52" s="46"/>
      <c r="C52" s="46"/>
      <c r="D52" s="46"/>
    </row>
  </sheetData>
  <mergeCells count="1">
    <mergeCell ref="B48:D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38BC-6D3D-4EFF-9CE1-358DEB286D6A}">
  <sheetPr codeName="Sheet6"/>
  <dimension ref="A1:O53"/>
  <sheetViews>
    <sheetView zoomScale="85" zoomScaleNormal="85" workbookViewId="0">
      <selection activeCell="C54" sqref="C54"/>
    </sheetView>
  </sheetViews>
  <sheetFormatPr defaultRowHeight="14.5" x14ac:dyDescent="0.35"/>
  <cols>
    <col min="1" max="1" width="2.81640625" style="9" bestFit="1" customWidth="1"/>
    <col min="2" max="3" width="7.08984375" style="9" bestFit="1" customWidth="1"/>
    <col min="4" max="5" width="10.7265625" style="9" bestFit="1" customWidth="1"/>
    <col min="6" max="7" width="11.81640625" style="9" bestFit="1" customWidth="1"/>
    <col min="8" max="9" width="12.36328125" style="9" bestFit="1" customWidth="1"/>
    <col min="10" max="11" width="13.81640625" style="9" bestFit="1" customWidth="1"/>
    <col min="12" max="12" width="10.1796875" customWidth="1"/>
  </cols>
  <sheetData>
    <row r="1" spans="1:12" ht="58" x14ac:dyDescent="0.35">
      <c r="A1" s="16" t="s">
        <v>94</v>
      </c>
      <c r="B1" s="16" t="s">
        <v>237</v>
      </c>
      <c r="C1" s="16" t="s">
        <v>238</v>
      </c>
      <c r="D1" s="16" t="s">
        <v>239</v>
      </c>
      <c r="E1" s="16" t="s">
        <v>240</v>
      </c>
      <c r="F1" s="5" t="s">
        <v>241</v>
      </c>
      <c r="G1" s="5" t="s">
        <v>242</v>
      </c>
      <c r="H1" s="5" t="s">
        <v>243</v>
      </c>
      <c r="I1" s="5" t="s">
        <v>244</v>
      </c>
      <c r="J1" s="5" t="s">
        <v>245</v>
      </c>
      <c r="K1" s="5" t="s">
        <v>246</v>
      </c>
      <c r="L1" s="5"/>
    </row>
    <row r="2" spans="1:12" x14ac:dyDescent="0.35">
      <c r="A2" s="9">
        <v>1</v>
      </c>
      <c r="B2" s="27" t="s">
        <v>62</v>
      </c>
      <c r="C2" s="27" t="s">
        <v>154</v>
      </c>
      <c r="D2" s="9" t="s">
        <v>247</v>
      </c>
      <c r="E2" s="9">
        <v>10.9</v>
      </c>
      <c r="F2" s="28">
        <v>1905.255888325765</v>
      </c>
      <c r="G2" s="28">
        <v>1905.255888325765</v>
      </c>
      <c r="H2" s="9">
        <v>953</v>
      </c>
      <c r="I2" s="9">
        <v>953</v>
      </c>
      <c r="J2" s="9">
        <v>0</v>
      </c>
      <c r="K2" s="9">
        <v>0</v>
      </c>
    </row>
    <row r="3" spans="1:12" x14ac:dyDescent="0.35">
      <c r="A3" s="9">
        <v>2</v>
      </c>
      <c r="B3" s="27" t="s">
        <v>62</v>
      </c>
      <c r="C3" s="27" t="s">
        <v>178</v>
      </c>
      <c r="D3" s="9" t="s">
        <v>247</v>
      </c>
      <c r="E3" s="9">
        <v>32.5</v>
      </c>
      <c r="F3" s="28">
        <v>1905.255888325765</v>
      </c>
      <c r="G3" s="28">
        <v>1905.255888325765</v>
      </c>
      <c r="H3" s="9">
        <v>953</v>
      </c>
      <c r="I3" s="9">
        <v>953</v>
      </c>
      <c r="J3" s="9">
        <v>0</v>
      </c>
      <c r="K3" s="9">
        <v>0</v>
      </c>
    </row>
    <row r="4" spans="1:12" x14ac:dyDescent="0.35">
      <c r="A4" s="9">
        <v>3</v>
      </c>
      <c r="B4" s="27" t="s">
        <v>118</v>
      </c>
      <c r="C4" s="27" t="s">
        <v>127</v>
      </c>
      <c r="D4" s="9" t="s">
        <v>247</v>
      </c>
      <c r="E4" s="9">
        <v>42</v>
      </c>
      <c r="F4" s="28">
        <v>3290.8965343808668</v>
      </c>
      <c r="G4" s="28">
        <v>3464.1016151377539</v>
      </c>
      <c r="H4" s="9">
        <v>1646</v>
      </c>
      <c r="I4" s="9">
        <v>1733</v>
      </c>
      <c r="J4" s="9">
        <v>0</v>
      </c>
      <c r="K4" s="9">
        <v>0</v>
      </c>
    </row>
    <row r="5" spans="1:12" x14ac:dyDescent="0.35">
      <c r="A5" s="9">
        <v>4</v>
      </c>
      <c r="B5" s="27" t="s">
        <v>118</v>
      </c>
      <c r="C5" s="27" t="s">
        <v>157</v>
      </c>
      <c r="D5" s="9" t="s">
        <v>247</v>
      </c>
      <c r="E5" s="9">
        <v>58</v>
      </c>
      <c r="F5" s="28">
        <v>3290.8965343808668</v>
      </c>
      <c r="G5" s="28">
        <v>3464.1016151377539</v>
      </c>
      <c r="H5" s="9">
        <v>1646</v>
      </c>
      <c r="I5" s="9">
        <v>1733</v>
      </c>
      <c r="J5" s="9">
        <v>0</v>
      </c>
      <c r="K5" s="9">
        <v>0</v>
      </c>
    </row>
    <row r="6" spans="1:12" x14ac:dyDescent="0.35">
      <c r="A6" s="9">
        <v>5</v>
      </c>
      <c r="B6" s="27" t="s">
        <v>114</v>
      </c>
      <c r="C6" s="27" t="s">
        <v>172</v>
      </c>
      <c r="D6" s="29" t="s">
        <v>248</v>
      </c>
      <c r="E6" s="9">
        <v>39.1</v>
      </c>
      <c r="F6" s="28">
        <v>3290.8965343808668</v>
      </c>
      <c r="G6" s="28">
        <v>11085.125168440811</v>
      </c>
      <c r="H6" s="9">
        <v>1646</v>
      </c>
      <c r="I6" s="9">
        <v>8314</v>
      </c>
      <c r="J6" s="9">
        <v>0</v>
      </c>
      <c r="K6" s="9">
        <v>0</v>
      </c>
    </row>
    <row r="7" spans="1:12" x14ac:dyDescent="0.35">
      <c r="A7" s="9">
        <v>6</v>
      </c>
      <c r="B7" s="27" t="s">
        <v>106</v>
      </c>
      <c r="C7" s="27" t="s">
        <v>110</v>
      </c>
      <c r="D7" s="9" t="s">
        <v>247</v>
      </c>
      <c r="E7" s="9">
        <v>60</v>
      </c>
      <c r="F7" s="28">
        <v>3949.0758412570399</v>
      </c>
      <c r="G7" s="28">
        <v>4156.9219381653056</v>
      </c>
      <c r="H7" s="9">
        <v>1975</v>
      </c>
      <c r="I7" s="9">
        <v>2079</v>
      </c>
      <c r="J7" s="9">
        <v>0</v>
      </c>
      <c r="K7" s="9">
        <v>0</v>
      </c>
    </row>
    <row r="8" spans="1:12" x14ac:dyDescent="0.35">
      <c r="A8" s="9">
        <v>7</v>
      </c>
      <c r="B8" s="27" t="s">
        <v>106</v>
      </c>
      <c r="C8" s="9" t="s">
        <v>167</v>
      </c>
      <c r="D8" s="9" t="s">
        <v>247</v>
      </c>
      <c r="E8" s="9">
        <v>16.100000000000001</v>
      </c>
      <c r="F8" s="28">
        <v>3817.4399798818049</v>
      </c>
      <c r="G8" s="28">
        <v>4156.9219381653056</v>
      </c>
      <c r="H8" s="9">
        <v>1909</v>
      </c>
      <c r="I8" s="9">
        <v>2079</v>
      </c>
      <c r="J8" s="9">
        <v>3800</v>
      </c>
      <c r="K8" s="9">
        <v>3800</v>
      </c>
    </row>
    <row r="9" spans="1:12" x14ac:dyDescent="0.35">
      <c r="A9" s="9">
        <v>8</v>
      </c>
      <c r="B9" s="27" t="s">
        <v>106</v>
      </c>
      <c r="C9" s="9" t="s">
        <v>181</v>
      </c>
      <c r="D9" s="9" t="s">
        <v>247</v>
      </c>
      <c r="E9" s="9">
        <v>15</v>
      </c>
      <c r="F9" s="28">
        <v>3949.0758412570399</v>
      </c>
      <c r="G9" s="28">
        <v>4156.9219381653056</v>
      </c>
      <c r="H9" s="9">
        <v>1975</v>
      </c>
      <c r="I9" s="9">
        <v>2079</v>
      </c>
      <c r="J9" s="9">
        <v>0</v>
      </c>
      <c r="K9" s="9">
        <v>0</v>
      </c>
    </row>
    <row r="10" spans="1:12" x14ac:dyDescent="0.35">
      <c r="A10" s="9">
        <v>9</v>
      </c>
      <c r="B10" s="27" t="s">
        <v>110</v>
      </c>
      <c r="C10" s="9" t="s">
        <v>149</v>
      </c>
      <c r="D10" s="9" t="s">
        <v>247</v>
      </c>
      <c r="E10" s="9">
        <v>17.5</v>
      </c>
      <c r="F10" s="28">
        <v>5265.4344550093874</v>
      </c>
      <c r="G10" s="28">
        <v>5542.5625842204072</v>
      </c>
      <c r="H10" s="9">
        <v>2633</v>
      </c>
      <c r="I10" s="9">
        <v>2772</v>
      </c>
      <c r="J10" s="9">
        <v>0</v>
      </c>
      <c r="K10" s="9">
        <v>0</v>
      </c>
    </row>
    <row r="11" spans="1:12" x14ac:dyDescent="0.35">
      <c r="A11" s="9">
        <v>10</v>
      </c>
      <c r="B11" s="27" t="s">
        <v>110</v>
      </c>
      <c r="C11" s="9" t="s">
        <v>181</v>
      </c>
      <c r="D11" s="9" t="s">
        <v>247</v>
      </c>
      <c r="E11" s="9">
        <v>45</v>
      </c>
      <c r="F11" s="28">
        <v>3949.0758412570399</v>
      </c>
      <c r="G11" s="28">
        <v>4156.9219381653056</v>
      </c>
      <c r="H11" s="9">
        <v>1975</v>
      </c>
      <c r="I11" s="9">
        <v>2079</v>
      </c>
      <c r="J11" s="9">
        <v>0</v>
      </c>
      <c r="K11" s="9">
        <v>0</v>
      </c>
    </row>
    <row r="12" spans="1:12" x14ac:dyDescent="0.35">
      <c r="A12" s="9">
        <v>11</v>
      </c>
      <c r="B12" s="27" t="s">
        <v>110</v>
      </c>
      <c r="C12" s="9" t="s">
        <v>183</v>
      </c>
      <c r="D12" s="9" t="s">
        <v>247</v>
      </c>
      <c r="E12" s="9">
        <v>21.9</v>
      </c>
      <c r="F12" s="28">
        <v>5265.4344550093874</v>
      </c>
      <c r="G12" s="28">
        <v>5542.5625842204072</v>
      </c>
      <c r="H12" s="9">
        <v>2633</v>
      </c>
      <c r="I12" s="9">
        <v>2772</v>
      </c>
      <c r="J12" s="9">
        <v>0</v>
      </c>
      <c r="K12" s="9">
        <v>0</v>
      </c>
    </row>
    <row r="13" spans="1:12" x14ac:dyDescent="0.35">
      <c r="A13" s="9">
        <v>12</v>
      </c>
      <c r="B13" s="27" t="s">
        <v>122</v>
      </c>
      <c r="C13" s="9" t="s">
        <v>149</v>
      </c>
      <c r="D13" s="9" t="s">
        <v>247</v>
      </c>
      <c r="E13" s="9">
        <v>14.8</v>
      </c>
      <c r="F13" s="28">
        <v>5265.4344550093874</v>
      </c>
      <c r="G13" s="28">
        <v>5542.5625842204072</v>
      </c>
      <c r="H13" s="9">
        <v>2633</v>
      </c>
      <c r="I13" s="9">
        <v>2772</v>
      </c>
      <c r="J13" s="9">
        <v>0</v>
      </c>
      <c r="K13" s="9">
        <v>0</v>
      </c>
    </row>
    <row r="14" spans="1:12" x14ac:dyDescent="0.35">
      <c r="A14" s="9">
        <v>13</v>
      </c>
      <c r="B14" s="27" t="s">
        <v>122</v>
      </c>
      <c r="C14" s="9" t="s">
        <v>174</v>
      </c>
      <c r="D14" s="9" t="s">
        <v>247</v>
      </c>
      <c r="E14" s="9">
        <v>43</v>
      </c>
      <c r="F14" s="28">
        <v>5265.4344550093874</v>
      </c>
      <c r="G14" s="28">
        <v>5542.5625842204072</v>
      </c>
      <c r="H14" s="9">
        <v>2633</v>
      </c>
      <c r="I14" s="9">
        <v>2772</v>
      </c>
      <c r="J14" s="9">
        <v>5270</v>
      </c>
      <c r="K14" s="9">
        <v>5270</v>
      </c>
    </row>
    <row r="15" spans="1:12" x14ac:dyDescent="0.35">
      <c r="A15" s="9">
        <v>14</v>
      </c>
      <c r="B15" s="30" t="s">
        <v>230</v>
      </c>
      <c r="C15" s="9" t="s">
        <v>164</v>
      </c>
      <c r="D15" s="9" t="s">
        <v>247</v>
      </c>
      <c r="E15" s="9">
        <v>17</v>
      </c>
      <c r="F15" s="28">
        <v>2369.4455047542242</v>
      </c>
      <c r="G15" s="28">
        <v>2494.1531628991829</v>
      </c>
      <c r="H15" s="9">
        <v>1185</v>
      </c>
      <c r="I15" s="9">
        <v>1248</v>
      </c>
      <c r="J15" s="9">
        <v>0</v>
      </c>
      <c r="K15" s="9">
        <v>0</v>
      </c>
    </row>
    <row r="16" spans="1:12" x14ac:dyDescent="0.35">
      <c r="A16" s="9">
        <v>15</v>
      </c>
      <c r="B16" s="27" t="s">
        <v>125</v>
      </c>
      <c r="C16" s="9" t="s">
        <v>149</v>
      </c>
      <c r="D16" s="9" t="s">
        <v>247</v>
      </c>
      <c r="E16" s="9">
        <v>57.5</v>
      </c>
      <c r="F16" s="28">
        <v>3290.8965343808668</v>
      </c>
      <c r="G16" s="28">
        <v>3464.1016151377539</v>
      </c>
      <c r="H16" s="9">
        <v>1646</v>
      </c>
      <c r="I16" s="9">
        <v>1733</v>
      </c>
      <c r="J16" s="9">
        <v>3290</v>
      </c>
      <c r="K16" s="9">
        <v>3290</v>
      </c>
    </row>
    <row r="17" spans="1:11" x14ac:dyDescent="0.35">
      <c r="A17" s="9">
        <v>16</v>
      </c>
      <c r="B17" s="27" t="s">
        <v>125</v>
      </c>
      <c r="C17" s="9" t="s">
        <v>152</v>
      </c>
      <c r="D17" s="9" t="s">
        <v>247</v>
      </c>
      <c r="E17" s="9">
        <v>51.7</v>
      </c>
      <c r="F17" s="28">
        <v>3290.8965343808668</v>
      </c>
      <c r="G17" s="28">
        <v>11085.125168440811</v>
      </c>
      <c r="H17" s="9">
        <v>1646</v>
      </c>
      <c r="I17" s="9">
        <v>8314</v>
      </c>
      <c r="J17" s="9">
        <v>0</v>
      </c>
      <c r="K17" s="9">
        <v>0</v>
      </c>
    </row>
    <row r="18" spans="1:11" x14ac:dyDescent="0.35">
      <c r="A18" s="9">
        <v>17</v>
      </c>
      <c r="B18" s="27" t="s">
        <v>125</v>
      </c>
      <c r="C18" s="9" t="s">
        <v>167</v>
      </c>
      <c r="D18" s="9" t="s">
        <v>247</v>
      </c>
      <c r="E18" s="9">
        <v>15.5</v>
      </c>
      <c r="F18" s="28">
        <v>3817.4399798818049</v>
      </c>
      <c r="G18" s="28">
        <v>4156.9219381653056</v>
      </c>
      <c r="H18" s="9">
        <v>1909</v>
      </c>
      <c r="I18" s="9">
        <v>2079</v>
      </c>
      <c r="J18" s="9">
        <v>3290</v>
      </c>
      <c r="K18" s="9">
        <v>3290</v>
      </c>
    </row>
    <row r="19" spans="1:11" x14ac:dyDescent="0.35">
      <c r="A19" s="9">
        <v>18</v>
      </c>
      <c r="B19" s="27" t="s">
        <v>127</v>
      </c>
      <c r="C19" s="9" t="s">
        <v>131</v>
      </c>
      <c r="D19" s="9" t="s">
        <v>247</v>
      </c>
      <c r="E19" s="9">
        <v>44.6</v>
      </c>
      <c r="F19" s="28">
        <v>3290.8965343808668</v>
      </c>
      <c r="G19" s="28">
        <v>4156.9219381653056</v>
      </c>
      <c r="H19" s="9">
        <v>1646</v>
      </c>
      <c r="I19" s="9">
        <v>2079</v>
      </c>
      <c r="J19" s="9">
        <v>0</v>
      </c>
      <c r="K19" s="9">
        <v>0</v>
      </c>
    </row>
    <row r="20" spans="1:11" x14ac:dyDescent="0.35">
      <c r="A20" s="9">
        <v>19</v>
      </c>
      <c r="B20" s="27" t="s">
        <v>131</v>
      </c>
      <c r="C20" s="9" t="s">
        <v>145</v>
      </c>
      <c r="D20" s="9" t="s">
        <v>247</v>
      </c>
      <c r="E20" s="9">
        <v>58.7</v>
      </c>
      <c r="F20" s="28">
        <v>3290.8965343808668</v>
      </c>
      <c r="G20" s="28">
        <v>4156.9219381653056</v>
      </c>
      <c r="H20" s="9">
        <v>1646</v>
      </c>
      <c r="I20" s="9">
        <v>2079</v>
      </c>
      <c r="J20" s="9">
        <v>0</v>
      </c>
      <c r="K20" s="9">
        <v>0</v>
      </c>
    </row>
    <row r="21" spans="1:11" x14ac:dyDescent="0.35">
      <c r="A21" s="9">
        <v>20</v>
      </c>
      <c r="B21" s="27" t="s">
        <v>133</v>
      </c>
      <c r="C21" s="9" t="s">
        <v>164</v>
      </c>
      <c r="D21" s="9" t="s">
        <v>247</v>
      </c>
      <c r="E21" s="9">
        <v>37.6</v>
      </c>
      <c r="F21" s="28">
        <v>5265.4344550093874</v>
      </c>
      <c r="G21" s="28">
        <v>5542.5625842204072</v>
      </c>
      <c r="H21" s="9">
        <v>2633</v>
      </c>
      <c r="I21" s="9">
        <v>2772</v>
      </c>
      <c r="J21" s="9">
        <v>0</v>
      </c>
      <c r="K21" s="9">
        <v>0</v>
      </c>
    </row>
    <row r="22" spans="1:11" x14ac:dyDescent="0.35">
      <c r="A22" s="9">
        <v>21</v>
      </c>
      <c r="B22" s="27" t="s">
        <v>133</v>
      </c>
      <c r="C22" s="9" t="s">
        <v>178</v>
      </c>
      <c r="D22" s="9" t="s">
        <v>247</v>
      </c>
      <c r="E22" s="9">
        <v>39.9</v>
      </c>
      <c r="F22" s="28">
        <v>3505.670834519407</v>
      </c>
      <c r="G22" s="28">
        <v>11085.125168440811</v>
      </c>
      <c r="H22" s="9">
        <v>2630</v>
      </c>
      <c r="I22" s="9">
        <v>8314</v>
      </c>
      <c r="J22" s="9">
        <v>0</v>
      </c>
      <c r="K22" s="9">
        <v>0</v>
      </c>
    </row>
    <row r="23" spans="1:11" x14ac:dyDescent="0.35">
      <c r="A23" s="9">
        <v>22</v>
      </c>
      <c r="B23" s="27" t="s">
        <v>133</v>
      </c>
      <c r="C23" s="9" t="s">
        <v>185</v>
      </c>
      <c r="D23" s="9" t="s">
        <v>247</v>
      </c>
      <c r="E23" s="9">
        <v>24.3</v>
      </c>
      <c r="F23" s="28">
        <v>1752.8354172597039</v>
      </c>
      <c r="G23" s="28">
        <v>1752.8354172597039</v>
      </c>
      <c r="H23" s="9">
        <v>877</v>
      </c>
      <c r="I23" s="9">
        <v>877</v>
      </c>
      <c r="J23" s="9">
        <v>0</v>
      </c>
      <c r="K23" s="9">
        <v>0</v>
      </c>
    </row>
    <row r="24" spans="1:11" x14ac:dyDescent="0.35">
      <c r="A24" s="9">
        <v>23</v>
      </c>
      <c r="B24" s="27" t="s">
        <v>137</v>
      </c>
      <c r="C24" s="9" t="s">
        <v>157</v>
      </c>
      <c r="D24" s="9" t="s">
        <v>247</v>
      </c>
      <c r="E24" s="9">
        <v>48.8</v>
      </c>
      <c r="F24" s="28">
        <v>3949.0758412570399</v>
      </c>
      <c r="G24" s="28">
        <v>5542.5625842204072</v>
      </c>
      <c r="H24" s="9">
        <v>1975</v>
      </c>
      <c r="I24" s="9">
        <v>2772</v>
      </c>
      <c r="J24" s="9">
        <v>7905</v>
      </c>
      <c r="K24" s="9">
        <v>7905</v>
      </c>
    </row>
    <row r="25" spans="1:11" x14ac:dyDescent="0.35">
      <c r="A25" s="9">
        <v>24</v>
      </c>
      <c r="B25" s="27" t="s">
        <v>137</v>
      </c>
      <c r="C25" s="9" t="s">
        <v>176</v>
      </c>
      <c r="D25" s="29" t="s">
        <v>248</v>
      </c>
      <c r="E25" s="9">
        <v>40</v>
      </c>
      <c r="F25" s="28">
        <v>0</v>
      </c>
      <c r="G25" s="28">
        <v>5196.152422706632</v>
      </c>
      <c r="H25" s="9">
        <v>0</v>
      </c>
      <c r="I25" s="9">
        <v>3465</v>
      </c>
      <c r="J25" s="9">
        <v>5580</v>
      </c>
      <c r="K25" s="9">
        <v>5580</v>
      </c>
    </row>
    <row r="26" spans="1:11" x14ac:dyDescent="0.35">
      <c r="A26" s="9">
        <v>25</v>
      </c>
      <c r="B26" s="27" t="s">
        <v>139</v>
      </c>
      <c r="C26" s="9" t="s">
        <v>221</v>
      </c>
      <c r="D26" s="9" t="s">
        <v>247</v>
      </c>
      <c r="E26" s="9">
        <v>31.4</v>
      </c>
      <c r="F26" s="28">
        <v>1905.255888325765</v>
      </c>
      <c r="G26" s="28">
        <v>1905.255888325765</v>
      </c>
      <c r="H26" s="9">
        <v>953</v>
      </c>
      <c r="I26" s="9">
        <v>953</v>
      </c>
      <c r="J26" s="9">
        <v>0</v>
      </c>
      <c r="K26" s="9">
        <v>0</v>
      </c>
    </row>
    <row r="27" spans="1:11" x14ac:dyDescent="0.35">
      <c r="A27" s="9">
        <v>26</v>
      </c>
      <c r="B27" s="27" t="s">
        <v>139</v>
      </c>
      <c r="C27" s="9" t="s">
        <v>152</v>
      </c>
      <c r="D27" s="9" t="s">
        <v>247</v>
      </c>
      <c r="E27" s="9">
        <v>20</v>
      </c>
      <c r="F27" s="28">
        <v>3949.0758412570399</v>
      </c>
      <c r="G27" s="28">
        <v>11085.125168440811</v>
      </c>
      <c r="H27" s="9">
        <v>1975</v>
      </c>
      <c r="I27" s="9">
        <v>8314</v>
      </c>
      <c r="J27" s="9">
        <v>0</v>
      </c>
      <c r="K27" s="9">
        <v>0</v>
      </c>
    </row>
    <row r="28" spans="1:11" x14ac:dyDescent="0.35">
      <c r="A28" s="9">
        <v>27</v>
      </c>
      <c r="B28" s="27" t="s">
        <v>139</v>
      </c>
      <c r="C28" s="9" t="s">
        <v>169</v>
      </c>
      <c r="D28" s="9" t="s">
        <v>247</v>
      </c>
      <c r="E28" s="9">
        <v>43.4</v>
      </c>
      <c r="F28" s="28">
        <v>1905.255888325765</v>
      </c>
      <c r="G28" s="28">
        <v>1905.255888325765</v>
      </c>
      <c r="H28" s="9">
        <v>953</v>
      </c>
      <c r="I28" s="9">
        <v>953</v>
      </c>
      <c r="J28" s="9">
        <v>0</v>
      </c>
      <c r="K28" s="9">
        <v>0</v>
      </c>
    </row>
    <row r="29" spans="1:11" x14ac:dyDescent="0.35">
      <c r="A29" s="9">
        <v>28</v>
      </c>
      <c r="B29" s="27" t="s">
        <v>139</v>
      </c>
      <c r="C29" s="9" t="s">
        <v>178</v>
      </c>
      <c r="D29" s="9" t="s">
        <v>248</v>
      </c>
      <c r="E29" s="9">
        <v>115</v>
      </c>
      <c r="F29" s="28">
        <v>0</v>
      </c>
      <c r="G29" s="28">
        <v>5542.5625842204072</v>
      </c>
      <c r="H29" s="9">
        <v>0</v>
      </c>
      <c r="I29" s="9">
        <v>2772</v>
      </c>
      <c r="J29" s="9">
        <v>0</v>
      </c>
      <c r="K29" s="9">
        <v>0</v>
      </c>
    </row>
    <row r="30" spans="1:11" x14ac:dyDescent="0.35">
      <c r="A30" s="9">
        <v>29</v>
      </c>
      <c r="B30" s="27" t="s">
        <v>139</v>
      </c>
      <c r="C30" s="9" t="s">
        <v>194</v>
      </c>
      <c r="D30" s="9" t="s">
        <v>247</v>
      </c>
      <c r="E30" s="9">
        <v>31.7</v>
      </c>
      <c r="F30" s="28">
        <v>3290.8965343808668</v>
      </c>
      <c r="G30" s="28">
        <v>5542.5625842204072</v>
      </c>
      <c r="H30" s="9">
        <v>1646</v>
      </c>
      <c r="I30" s="9">
        <v>2772</v>
      </c>
      <c r="J30" s="9">
        <v>6261</v>
      </c>
      <c r="K30" s="9">
        <v>6261</v>
      </c>
    </row>
    <row r="31" spans="1:11" x14ac:dyDescent="0.35">
      <c r="A31" s="9">
        <v>30</v>
      </c>
      <c r="B31" s="30" t="s">
        <v>228</v>
      </c>
      <c r="C31" s="9" t="s">
        <v>157</v>
      </c>
      <c r="D31" s="9" t="s">
        <v>247</v>
      </c>
      <c r="E31" s="9">
        <v>8.5</v>
      </c>
      <c r="F31" s="28">
        <v>3290.8965343808668</v>
      </c>
      <c r="G31" s="28">
        <v>3464.1016151377539</v>
      </c>
      <c r="H31" s="9">
        <v>1646</v>
      </c>
      <c r="I31" s="9">
        <v>1733</v>
      </c>
      <c r="J31" s="9">
        <v>0</v>
      </c>
      <c r="K31" s="9">
        <v>0</v>
      </c>
    </row>
    <row r="32" spans="1:11" x14ac:dyDescent="0.35">
      <c r="A32" s="9">
        <v>31</v>
      </c>
      <c r="B32" s="27" t="s">
        <v>143</v>
      </c>
      <c r="C32" s="9" t="s">
        <v>149</v>
      </c>
      <c r="D32" s="9" t="s">
        <v>247</v>
      </c>
      <c r="E32" s="9">
        <v>34</v>
      </c>
      <c r="F32" s="28">
        <v>3949.0758412570399</v>
      </c>
      <c r="G32" s="28">
        <v>11085.125168440811</v>
      </c>
      <c r="H32" s="9">
        <v>1975</v>
      </c>
      <c r="I32" s="9">
        <v>8314</v>
      </c>
      <c r="J32" s="9">
        <v>5270</v>
      </c>
      <c r="K32" s="9">
        <v>5270</v>
      </c>
    </row>
    <row r="33" spans="1:15" x14ac:dyDescent="0.35">
      <c r="A33" s="9">
        <v>32</v>
      </c>
      <c r="B33" s="27" t="s">
        <v>143</v>
      </c>
      <c r="C33" s="9" t="s">
        <v>172</v>
      </c>
      <c r="D33" s="29" t="s">
        <v>248</v>
      </c>
      <c r="E33" s="9">
        <v>60.3</v>
      </c>
      <c r="F33" s="28">
        <v>3290.8965343808668</v>
      </c>
      <c r="G33" s="28">
        <v>5542.5625842204072</v>
      </c>
      <c r="H33" s="9">
        <v>1646</v>
      </c>
      <c r="I33" s="9">
        <v>2772</v>
      </c>
      <c r="J33" s="9">
        <v>6915</v>
      </c>
      <c r="K33" s="9">
        <v>6915</v>
      </c>
    </row>
    <row r="34" spans="1:15" x14ac:dyDescent="0.35">
      <c r="A34" s="9">
        <v>33</v>
      </c>
      <c r="B34" s="27" t="s">
        <v>143</v>
      </c>
      <c r="C34" s="9" t="s">
        <v>176</v>
      </c>
      <c r="D34" s="29" t="s">
        <v>248</v>
      </c>
      <c r="E34" s="9">
        <v>24</v>
      </c>
      <c r="F34" s="28">
        <v>0</v>
      </c>
      <c r="G34" s="28">
        <v>5196.152422706632</v>
      </c>
      <c r="H34" s="9">
        <v>0</v>
      </c>
      <c r="I34" s="9">
        <v>3465</v>
      </c>
      <c r="J34" s="9">
        <v>6915</v>
      </c>
      <c r="K34" s="9">
        <v>6915</v>
      </c>
    </row>
    <row r="35" spans="1:15" x14ac:dyDescent="0.35">
      <c r="A35" s="9">
        <v>34</v>
      </c>
      <c r="B35" s="30" t="s">
        <v>227</v>
      </c>
      <c r="C35" s="9" t="s">
        <v>145</v>
      </c>
      <c r="D35" s="9" t="s">
        <v>247</v>
      </c>
      <c r="E35" s="9">
        <v>16.5</v>
      </c>
      <c r="F35" s="28">
        <v>3290.8965343808668</v>
      </c>
      <c r="G35" s="28">
        <v>3464.1016151377539</v>
      </c>
      <c r="H35" s="9">
        <v>1646</v>
      </c>
      <c r="I35" s="9">
        <v>1733</v>
      </c>
      <c r="J35" s="9">
        <v>0</v>
      </c>
      <c r="K35" s="9">
        <v>0</v>
      </c>
    </row>
    <row r="36" spans="1:15" x14ac:dyDescent="0.35">
      <c r="A36" s="9">
        <v>35</v>
      </c>
      <c r="B36" s="27" t="s">
        <v>145</v>
      </c>
      <c r="C36" s="9" t="s">
        <v>194</v>
      </c>
      <c r="D36" s="9" t="s">
        <v>247</v>
      </c>
      <c r="E36" s="9">
        <v>60.7</v>
      </c>
      <c r="F36" s="28">
        <v>3290.8965343808668</v>
      </c>
      <c r="G36" s="28">
        <v>5542.5625842204072</v>
      </c>
      <c r="H36" s="9">
        <v>1646</v>
      </c>
      <c r="I36" s="9">
        <v>2772</v>
      </c>
      <c r="J36" s="9">
        <v>5270</v>
      </c>
      <c r="K36" s="9">
        <v>5270</v>
      </c>
    </row>
    <row r="37" spans="1:15" x14ac:dyDescent="0.35">
      <c r="A37" s="9">
        <v>36</v>
      </c>
      <c r="B37" s="27" t="s">
        <v>221</v>
      </c>
      <c r="C37" s="9" t="s">
        <v>189</v>
      </c>
      <c r="D37" s="9" t="s">
        <v>247</v>
      </c>
      <c r="E37" s="9">
        <v>63.9</v>
      </c>
      <c r="F37" s="28">
        <v>1905.255888325765</v>
      </c>
      <c r="G37" s="28">
        <v>1905.255888325765</v>
      </c>
      <c r="H37" s="9">
        <v>953</v>
      </c>
      <c r="I37" s="9">
        <v>953</v>
      </c>
      <c r="J37" s="9">
        <v>0</v>
      </c>
      <c r="K37" s="9">
        <v>0</v>
      </c>
    </row>
    <row r="38" spans="1:15" x14ac:dyDescent="0.35">
      <c r="A38" s="9">
        <v>37</v>
      </c>
      <c r="B38" s="27" t="s">
        <v>154</v>
      </c>
      <c r="C38" s="9" t="s">
        <v>169</v>
      </c>
      <c r="D38" s="9" t="s">
        <v>247</v>
      </c>
      <c r="E38" s="9">
        <v>28.5</v>
      </c>
      <c r="F38" s="28">
        <v>1905.255888325765</v>
      </c>
      <c r="G38" s="28">
        <v>1905.255888325765</v>
      </c>
      <c r="H38" s="9">
        <v>953</v>
      </c>
      <c r="I38" s="9">
        <v>953</v>
      </c>
      <c r="J38" s="9">
        <v>0</v>
      </c>
      <c r="K38" s="9">
        <v>0</v>
      </c>
    </row>
    <row r="39" spans="1:15" x14ac:dyDescent="0.35">
      <c r="A39" s="9">
        <v>38</v>
      </c>
      <c r="B39" s="27" t="s">
        <v>157</v>
      </c>
      <c r="C39" s="29" t="s">
        <v>223</v>
      </c>
      <c r="D39" s="9" t="s">
        <v>247</v>
      </c>
      <c r="E39" s="9">
        <v>10.6</v>
      </c>
      <c r="F39" s="28">
        <v>3290.8965343808668</v>
      </c>
      <c r="G39" s="28">
        <v>3464.1016151377539</v>
      </c>
      <c r="H39" s="9">
        <v>1646</v>
      </c>
      <c r="I39" s="9">
        <v>1733</v>
      </c>
      <c r="J39" s="9">
        <v>0</v>
      </c>
      <c r="K39" s="9">
        <v>0</v>
      </c>
    </row>
    <row r="40" spans="1:15" x14ac:dyDescent="0.35">
      <c r="A40" s="9">
        <v>39</v>
      </c>
      <c r="B40" s="27" t="s">
        <v>164</v>
      </c>
      <c r="C40" s="9" t="s">
        <v>185</v>
      </c>
      <c r="D40" s="9" t="s">
        <v>247</v>
      </c>
      <c r="E40" s="9">
        <v>29.3</v>
      </c>
      <c r="F40" s="28">
        <v>1752.8354172597039</v>
      </c>
      <c r="G40" s="28">
        <v>1752.8354172597039</v>
      </c>
      <c r="H40" s="9">
        <v>877</v>
      </c>
      <c r="I40" s="9">
        <v>877</v>
      </c>
      <c r="J40" s="9">
        <v>0</v>
      </c>
      <c r="K40" s="9">
        <v>0</v>
      </c>
    </row>
    <row r="41" spans="1:15" x14ac:dyDescent="0.35">
      <c r="A41" s="9">
        <v>40</v>
      </c>
      <c r="B41" s="27" t="s">
        <v>164</v>
      </c>
      <c r="C41" s="9" t="s">
        <v>194</v>
      </c>
      <c r="D41" s="9" t="s">
        <v>247</v>
      </c>
      <c r="E41" s="9">
        <v>107.8</v>
      </c>
      <c r="F41" s="28">
        <v>5265.4344550093874</v>
      </c>
      <c r="G41" s="28">
        <v>5542.5625842204072</v>
      </c>
      <c r="H41" s="9">
        <v>2633</v>
      </c>
      <c r="I41" s="9">
        <v>2772</v>
      </c>
      <c r="J41" s="9">
        <v>0</v>
      </c>
      <c r="K41" s="9">
        <v>0</v>
      </c>
    </row>
    <row r="42" spans="1:15" x14ac:dyDescent="0.35">
      <c r="A42" s="9">
        <v>41</v>
      </c>
      <c r="B42" s="27" t="s">
        <v>161</v>
      </c>
      <c r="C42" s="9" t="s">
        <v>174</v>
      </c>
      <c r="D42" s="9" t="s">
        <v>247</v>
      </c>
      <c r="E42" s="9">
        <v>23</v>
      </c>
      <c r="F42" s="28">
        <v>5265.4344550093874</v>
      </c>
      <c r="G42" s="28">
        <v>5542.5625842204072</v>
      </c>
      <c r="H42" s="9">
        <v>2633</v>
      </c>
      <c r="I42" s="9">
        <v>2772</v>
      </c>
      <c r="J42" s="9">
        <v>5270</v>
      </c>
      <c r="K42" s="9">
        <v>5270</v>
      </c>
    </row>
    <row r="43" spans="1:15" x14ac:dyDescent="0.35">
      <c r="A43" s="9">
        <v>42</v>
      </c>
      <c r="B43" s="27" t="s">
        <v>161</v>
      </c>
      <c r="C43" s="27" t="s">
        <v>187</v>
      </c>
      <c r="D43" s="9" t="s">
        <v>247</v>
      </c>
      <c r="E43" s="9">
        <v>20.2</v>
      </c>
      <c r="F43" s="28">
        <v>5265.4344550093874</v>
      </c>
      <c r="G43" s="28">
        <v>5542.5625842204072</v>
      </c>
      <c r="H43" s="9">
        <v>2633</v>
      </c>
      <c r="I43" s="9">
        <v>2772</v>
      </c>
      <c r="J43" s="9">
        <v>0</v>
      </c>
      <c r="K43" s="9">
        <v>0</v>
      </c>
    </row>
    <row r="44" spans="1:15" x14ac:dyDescent="0.35">
      <c r="A44" s="9">
        <v>43</v>
      </c>
      <c r="B44" s="27" t="s">
        <v>172</v>
      </c>
      <c r="C44" s="27" t="s">
        <v>176</v>
      </c>
      <c r="D44" s="29" t="s">
        <v>248</v>
      </c>
      <c r="E44" s="9">
        <v>85</v>
      </c>
      <c r="F44" s="28">
        <v>0</v>
      </c>
      <c r="G44" s="28">
        <v>5542.5625842204072</v>
      </c>
      <c r="H44" s="9">
        <v>0</v>
      </c>
      <c r="I44" s="9">
        <v>2772</v>
      </c>
      <c r="J44" s="9">
        <v>0</v>
      </c>
      <c r="K44" s="9">
        <v>0</v>
      </c>
    </row>
    <row r="45" spans="1:15" x14ac:dyDescent="0.35">
      <c r="A45" s="9">
        <v>44</v>
      </c>
      <c r="B45" s="27" t="s">
        <v>172</v>
      </c>
      <c r="C45" s="30" t="s">
        <v>222</v>
      </c>
      <c r="D45" s="29" t="s">
        <v>248</v>
      </c>
      <c r="E45" s="9">
        <v>6.5</v>
      </c>
      <c r="F45" s="28">
        <v>3290.8965343808668</v>
      </c>
      <c r="G45" s="28">
        <v>3464.1016151377539</v>
      </c>
      <c r="H45" s="9">
        <v>1646</v>
      </c>
      <c r="I45" s="9">
        <v>1733</v>
      </c>
      <c r="J45" s="9">
        <v>0</v>
      </c>
      <c r="K45" s="9">
        <v>0</v>
      </c>
    </row>
    <row r="46" spans="1:15" x14ac:dyDescent="0.35">
      <c r="A46" s="9">
        <v>45</v>
      </c>
      <c r="B46" s="27" t="s">
        <v>178</v>
      </c>
      <c r="C46" s="27" t="s">
        <v>189</v>
      </c>
      <c r="D46" s="9" t="s">
        <v>247</v>
      </c>
      <c r="E46" s="9">
        <v>23.7</v>
      </c>
      <c r="F46" s="28">
        <v>1905.255888325765</v>
      </c>
      <c r="G46" s="28">
        <v>1905.255888325765</v>
      </c>
      <c r="H46" s="9">
        <v>953</v>
      </c>
      <c r="I46" s="9">
        <v>953</v>
      </c>
      <c r="J46" s="9">
        <v>0</v>
      </c>
      <c r="K46" s="9">
        <v>0</v>
      </c>
    </row>
    <row r="47" spans="1:15" x14ac:dyDescent="0.35">
      <c r="A47" s="9">
        <v>46</v>
      </c>
      <c r="B47" s="27" t="s">
        <v>187</v>
      </c>
      <c r="C47" s="27" t="s">
        <v>183</v>
      </c>
      <c r="D47" s="9" t="s">
        <v>247</v>
      </c>
      <c r="E47" s="9">
        <v>6.8</v>
      </c>
      <c r="F47" s="28">
        <v>5265.4344550093874</v>
      </c>
      <c r="G47" s="28">
        <v>5542.5625842204072</v>
      </c>
      <c r="H47" s="9">
        <v>2633</v>
      </c>
      <c r="I47" s="9">
        <v>2772</v>
      </c>
      <c r="J47" s="9">
        <v>0</v>
      </c>
      <c r="K47" s="9">
        <v>0</v>
      </c>
    </row>
    <row r="48" spans="1:15" x14ac:dyDescent="0.35">
      <c r="A48" s="9">
        <v>47</v>
      </c>
      <c r="B48" s="43" t="s">
        <v>196</v>
      </c>
      <c r="C48" s="9" t="s">
        <v>149</v>
      </c>
      <c r="D48" s="9" t="s">
        <v>247</v>
      </c>
      <c r="E48" s="9">
        <v>37.61</v>
      </c>
      <c r="N48" t="s">
        <v>249</v>
      </c>
      <c r="O48" s="31" t="s">
        <v>250</v>
      </c>
    </row>
    <row r="49" spans="1:15" x14ac:dyDescent="0.35">
      <c r="A49" s="9">
        <v>48</v>
      </c>
      <c r="B49" s="43" t="s">
        <v>196</v>
      </c>
      <c r="C49" s="9" t="s">
        <v>125</v>
      </c>
      <c r="D49" s="9" t="s">
        <v>247</v>
      </c>
      <c r="E49" s="9">
        <v>20.07</v>
      </c>
      <c r="N49" t="s">
        <v>249</v>
      </c>
      <c r="O49" s="31" t="s">
        <v>250</v>
      </c>
    </row>
    <row r="50" spans="1:15" x14ac:dyDescent="0.35">
      <c r="C50" s="44" t="s">
        <v>369</v>
      </c>
      <c r="D50" s="44"/>
      <c r="E50" s="44"/>
    </row>
    <row r="51" spans="1:15" x14ac:dyDescent="0.35">
      <c r="C51" s="44"/>
      <c r="D51" s="44"/>
      <c r="E51" s="44"/>
    </row>
    <row r="52" spans="1:15" x14ac:dyDescent="0.35">
      <c r="C52" s="44"/>
      <c r="D52" s="44"/>
      <c r="E52" s="44"/>
    </row>
    <row r="53" spans="1:15" x14ac:dyDescent="0.35">
      <c r="C53" s="44"/>
      <c r="D53" s="44"/>
      <c r="E53" s="44"/>
    </row>
  </sheetData>
  <mergeCells count="1">
    <mergeCell ref="C50:E53"/>
  </mergeCells>
  <hyperlinks>
    <hyperlink ref="O48" r:id="rId1" location="14/52.1476/4.9990" xr:uid="{0C591677-73B7-423B-9AA6-AB50BA18528E}"/>
    <hyperlink ref="O49" r:id="rId2" location="14/52.1476/4.9990" xr:uid="{81476671-E4EB-467D-A082-CDFA0B94C9D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D597-6822-474F-91F6-D23F4804A181}">
  <sheetPr codeName="Sheet3"/>
  <dimension ref="A1:M22"/>
  <sheetViews>
    <sheetView topLeftCell="A7" workbookViewId="0">
      <selection activeCell="I23" sqref="I23"/>
    </sheetView>
  </sheetViews>
  <sheetFormatPr defaultRowHeight="14.5" x14ac:dyDescent="0.35"/>
  <cols>
    <col min="2" max="2" width="15.90625" bestFit="1" customWidth="1"/>
    <col min="3" max="3" width="16.26953125" bestFit="1" customWidth="1"/>
    <col min="4" max="4" width="10.6328125" bestFit="1" customWidth="1"/>
    <col min="5" max="5" width="22.1796875" bestFit="1" customWidth="1"/>
    <col min="6" max="6" width="10.453125" bestFit="1" customWidth="1"/>
    <col min="7" max="7" width="22.7265625" bestFit="1" customWidth="1"/>
    <col min="8" max="8" width="13.453125" bestFit="1" customWidth="1"/>
    <col min="9" max="9" width="15.26953125" bestFit="1" customWidth="1"/>
  </cols>
  <sheetData>
    <row r="1" spans="1:13" ht="29" x14ac:dyDescent="0.35">
      <c r="B1" s="4" t="s">
        <v>237</v>
      </c>
      <c r="C1" s="4" t="s">
        <v>238</v>
      </c>
      <c r="D1" s="5" t="s">
        <v>251</v>
      </c>
      <c r="E1" s="32" t="s">
        <v>251</v>
      </c>
      <c r="G1" s="40" t="s">
        <v>252</v>
      </c>
      <c r="H1" s="40"/>
      <c r="I1" s="40"/>
      <c r="J1" s="40"/>
      <c r="K1" s="40"/>
    </row>
    <row r="2" spans="1:13" x14ac:dyDescent="0.35">
      <c r="B2" t="s">
        <v>253</v>
      </c>
      <c r="C2" t="s">
        <v>254</v>
      </c>
      <c r="D2">
        <v>3400</v>
      </c>
      <c r="E2">
        <v>4400</v>
      </c>
      <c r="G2" s="40"/>
      <c r="H2" s="40"/>
      <c r="I2" s="40"/>
      <c r="J2" s="40"/>
      <c r="K2" s="40"/>
    </row>
    <row r="3" spans="1:13" x14ac:dyDescent="0.35">
      <c r="B3" t="s">
        <v>253</v>
      </c>
      <c r="C3" t="s">
        <v>255</v>
      </c>
      <c r="D3">
        <v>700</v>
      </c>
      <c r="E3">
        <v>700</v>
      </c>
      <c r="G3" s="40"/>
      <c r="H3" s="40"/>
      <c r="I3" s="40"/>
      <c r="J3" s="40"/>
      <c r="K3" s="40"/>
    </row>
    <row r="4" spans="1:13" x14ac:dyDescent="0.35">
      <c r="B4" t="s">
        <v>253</v>
      </c>
      <c r="C4" t="s">
        <v>256</v>
      </c>
      <c r="D4">
        <v>1000</v>
      </c>
      <c r="E4">
        <v>2800</v>
      </c>
      <c r="G4" s="40"/>
      <c r="H4" s="40"/>
      <c r="I4" s="40"/>
      <c r="J4" s="40"/>
      <c r="K4" s="40"/>
    </row>
    <row r="5" spans="1:13" x14ac:dyDescent="0.35">
      <c r="B5" t="s">
        <v>253</v>
      </c>
      <c r="C5" t="s">
        <v>257</v>
      </c>
      <c r="D5">
        <v>5000</v>
      </c>
      <c r="E5">
        <v>6000</v>
      </c>
      <c r="G5" s="40"/>
      <c r="H5" s="40"/>
      <c r="I5" s="40"/>
      <c r="J5" s="40"/>
      <c r="K5" s="40"/>
    </row>
    <row r="6" spans="1:13" x14ac:dyDescent="0.35">
      <c r="B6" t="s">
        <v>253</v>
      </c>
      <c r="C6" t="s">
        <v>258</v>
      </c>
      <c r="D6">
        <v>700</v>
      </c>
      <c r="E6">
        <v>700</v>
      </c>
    </row>
    <row r="8" spans="1:13" x14ac:dyDescent="0.35">
      <c r="B8" s="33" t="s">
        <v>259</v>
      </c>
      <c r="C8" s="9"/>
      <c r="H8" s="4" t="s">
        <v>260</v>
      </c>
      <c r="I8" s="4" t="s">
        <v>261</v>
      </c>
      <c r="J8" s="4" t="s">
        <v>262</v>
      </c>
      <c r="K8" s="4" t="s">
        <v>263</v>
      </c>
      <c r="L8" s="4" t="s">
        <v>264</v>
      </c>
      <c r="M8" s="4" t="s">
        <v>265</v>
      </c>
    </row>
    <row r="9" spans="1:13" x14ac:dyDescent="0.35">
      <c r="A9">
        <v>1</v>
      </c>
      <c r="B9" s="18" t="s">
        <v>266</v>
      </c>
      <c r="C9" s="9" t="s">
        <v>136</v>
      </c>
      <c r="D9" s="34" t="s">
        <v>57</v>
      </c>
      <c r="E9" s="34" t="s">
        <v>267</v>
      </c>
      <c r="F9" s="35" t="s">
        <v>164</v>
      </c>
      <c r="G9" s="34" t="s">
        <v>165</v>
      </c>
      <c r="H9" s="34" t="s">
        <v>268</v>
      </c>
      <c r="I9" s="34" t="s">
        <v>269</v>
      </c>
      <c r="J9" t="s">
        <v>270</v>
      </c>
      <c r="K9">
        <f>0.9*1382</f>
        <v>1243.8</v>
      </c>
      <c r="L9" t="s">
        <v>271</v>
      </c>
      <c r="M9" s="31" t="s">
        <v>272</v>
      </c>
    </row>
    <row r="10" spans="1:13" x14ac:dyDescent="0.35">
      <c r="A10">
        <v>2</v>
      </c>
      <c r="B10" s="18" t="s">
        <v>273</v>
      </c>
      <c r="C10" s="9" t="s">
        <v>117</v>
      </c>
      <c r="D10" s="34" t="s">
        <v>64</v>
      </c>
      <c r="E10" s="34" t="s">
        <v>274</v>
      </c>
      <c r="F10" s="35" t="s">
        <v>172</v>
      </c>
      <c r="G10" s="34" t="s">
        <v>173</v>
      </c>
      <c r="H10" s="34" t="s">
        <v>275</v>
      </c>
      <c r="I10" s="34" t="s">
        <v>269</v>
      </c>
      <c r="J10" s="34" t="s">
        <v>275</v>
      </c>
      <c r="K10">
        <f>0.9*2635</f>
        <v>2371.5</v>
      </c>
      <c r="L10" s="34" t="s">
        <v>276</v>
      </c>
      <c r="M10" s="31" t="s">
        <v>277</v>
      </c>
    </row>
    <row r="11" spans="1:13" x14ac:dyDescent="0.35">
      <c r="A11">
        <v>3</v>
      </c>
      <c r="B11" s="18" t="s">
        <v>278</v>
      </c>
      <c r="C11" s="9" t="s">
        <v>160</v>
      </c>
      <c r="D11" s="34" t="s">
        <v>65</v>
      </c>
      <c r="E11" s="34" t="s">
        <v>279</v>
      </c>
      <c r="F11" s="35" t="s">
        <v>157</v>
      </c>
      <c r="G11" s="34" t="s">
        <v>158</v>
      </c>
      <c r="H11" s="34" t="s">
        <v>280</v>
      </c>
      <c r="I11" s="34" t="s">
        <v>269</v>
      </c>
      <c r="J11" s="34" t="s">
        <v>281</v>
      </c>
      <c r="K11">
        <f>0.9*1710</f>
        <v>1539</v>
      </c>
      <c r="L11" s="34" t="s">
        <v>282</v>
      </c>
      <c r="M11" t="s">
        <v>283</v>
      </c>
    </row>
    <row r="12" spans="1:13" x14ac:dyDescent="0.35">
      <c r="A12">
        <v>4</v>
      </c>
      <c r="B12" s="18" t="s">
        <v>284</v>
      </c>
      <c r="C12" s="9" t="s">
        <v>148</v>
      </c>
      <c r="D12" s="34" t="s">
        <v>63</v>
      </c>
      <c r="E12" s="34" t="s">
        <v>285</v>
      </c>
      <c r="F12" s="35" t="s">
        <v>145</v>
      </c>
      <c r="G12" s="34" t="s">
        <v>286</v>
      </c>
      <c r="H12" s="34" t="s">
        <v>287</v>
      </c>
      <c r="I12" s="34" t="s">
        <v>269</v>
      </c>
      <c r="J12" s="34" t="s">
        <v>288</v>
      </c>
      <c r="K12">
        <f>0.9*1790</f>
        <v>1611</v>
      </c>
      <c r="L12" s="34" t="s">
        <v>289</v>
      </c>
      <c r="M12" t="s">
        <v>290</v>
      </c>
    </row>
    <row r="13" spans="1:13" x14ac:dyDescent="0.35">
      <c r="A13">
        <v>5</v>
      </c>
      <c r="B13" s="18" t="s">
        <v>291</v>
      </c>
      <c r="C13" s="9" t="s">
        <v>160</v>
      </c>
      <c r="D13" s="34" t="s">
        <v>58</v>
      </c>
      <c r="E13" s="34" t="s">
        <v>292</v>
      </c>
      <c r="F13" s="35" t="s">
        <v>157</v>
      </c>
      <c r="G13" s="34" t="s">
        <v>158</v>
      </c>
      <c r="H13" s="34" t="s">
        <v>293</v>
      </c>
      <c r="I13" s="34" t="s">
        <v>294</v>
      </c>
      <c r="J13" s="34" t="s">
        <v>295</v>
      </c>
      <c r="K13">
        <f>0.9*1350</f>
        <v>1215</v>
      </c>
      <c r="L13" s="34" t="s">
        <v>296</v>
      </c>
      <c r="M13" s="31" t="s">
        <v>297</v>
      </c>
    </row>
    <row r="14" spans="1:13" x14ac:dyDescent="0.35">
      <c r="A14">
        <v>6</v>
      </c>
      <c r="B14" s="18" t="s">
        <v>298</v>
      </c>
      <c r="C14" s="9" t="s">
        <v>130</v>
      </c>
      <c r="D14" s="9" t="s">
        <v>67</v>
      </c>
      <c r="E14" t="s">
        <v>299</v>
      </c>
      <c r="F14" s="12" t="s">
        <v>131</v>
      </c>
      <c r="G14" s="12" t="s">
        <v>132</v>
      </c>
      <c r="H14" s="12" t="s">
        <v>300</v>
      </c>
      <c r="I14" s="12" t="s">
        <v>294</v>
      </c>
      <c r="J14" t="s">
        <v>301</v>
      </c>
      <c r="K14">
        <f>0.9*2635</f>
        <v>2371.5</v>
      </c>
      <c r="L14" t="s">
        <v>302</v>
      </c>
      <c r="M14" t="s">
        <v>303</v>
      </c>
    </row>
    <row r="15" spans="1:13" x14ac:dyDescent="0.35">
      <c r="A15">
        <v>7</v>
      </c>
      <c r="B15" s="18" t="s">
        <v>304</v>
      </c>
      <c r="C15" s="9" t="s">
        <v>113</v>
      </c>
      <c r="D15" s="9" t="s">
        <v>59</v>
      </c>
      <c r="E15" t="s">
        <v>305</v>
      </c>
      <c r="F15" s="12" t="s">
        <v>161</v>
      </c>
      <c r="G15" s="12" t="s">
        <v>162</v>
      </c>
      <c r="H15" s="12" t="s">
        <v>306</v>
      </c>
      <c r="I15" s="12" t="s">
        <v>307</v>
      </c>
      <c r="J15" t="s">
        <v>308</v>
      </c>
      <c r="K15" t="s">
        <v>309</v>
      </c>
      <c r="L15" s="4" t="s">
        <v>310</v>
      </c>
      <c r="M15" t="s">
        <v>311</v>
      </c>
    </row>
    <row r="16" spans="1:13" x14ac:dyDescent="0.35">
      <c r="C16" s="9"/>
      <c r="F16" s="4"/>
      <c r="G16" s="4"/>
      <c r="H16" s="4"/>
      <c r="I16" s="4"/>
      <c r="J16" s="4"/>
      <c r="K16" s="4"/>
      <c r="M16" s="31" t="s">
        <v>312</v>
      </c>
    </row>
    <row r="17" spans="1:13" x14ac:dyDescent="0.35">
      <c r="A17">
        <v>8</v>
      </c>
      <c r="B17" s="18" t="s">
        <v>313</v>
      </c>
      <c r="C17" s="9" t="s">
        <v>136</v>
      </c>
      <c r="D17" s="9" t="s">
        <v>60</v>
      </c>
      <c r="E17" t="s">
        <v>314</v>
      </c>
      <c r="F17" s="12" t="s">
        <v>133</v>
      </c>
      <c r="G17" s="12" t="s">
        <v>134</v>
      </c>
      <c r="H17" s="12" t="s">
        <v>315</v>
      </c>
      <c r="I17" s="12" t="s">
        <v>316</v>
      </c>
      <c r="J17" t="s">
        <v>317</v>
      </c>
      <c r="K17" t="s">
        <v>318</v>
      </c>
      <c r="L17" s="4" t="s">
        <v>319</v>
      </c>
      <c r="M17" s="31" t="s">
        <v>320</v>
      </c>
    </row>
    <row r="18" spans="1:13" x14ac:dyDescent="0.35">
      <c r="A18">
        <v>9</v>
      </c>
      <c r="B18" s="18" t="s">
        <v>321</v>
      </c>
      <c r="C18" s="9" t="s">
        <v>136</v>
      </c>
      <c r="D18" s="9" t="s">
        <v>61</v>
      </c>
      <c r="E18" t="s">
        <v>322</v>
      </c>
      <c r="F18" s="12" t="s">
        <v>133</v>
      </c>
      <c r="G18" s="12" t="s">
        <v>134</v>
      </c>
      <c r="H18" s="12" t="s">
        <v>323</v>
      </c>
      <c r="I18" s="12" t="s">
        <v>316</v>
      </c>
      <c r="J18" t="s">
        <v>324</v>
      </c>
      <c r="K18" t="s">
        <v>318</v>
      </c>
      <c r="L18" s="4" t="s">
        <v>325</v>
      </c>
      <c r="M18" s="31" t="s">
        <v>326</v>
      </c>
    </row>
    <row r="22" spans="1:13" x14ac:dyDescent="0.35">
      <c r="C22" s="9"/>
    </row>
  </sheetData>
  <mergeCells count="1">
    <mergeCell ref="G1:K5"/>
  </mergeCells>
  <hyperlinks>
    <hyperlink ref="M17" r:id="rId1" xr:uid="{6F279659-2E65-4C20-B6C4-FC3740771DCD}"/>
    <hyperlink ref="M9" r:id="rId2" xr:uid="{591076F0-8305-48FD-9851-BD4F97D1B3C8}"/>
    <hyperlink ref="M10" r:id="rId3" location="12/51.3944/4.2864" xr:uid="{DBE3F4F2-865C-4F7A-BF0F-DC9AD1F6DE54}"/>
    <hyperlink ref="M13" r:id="rId4" xr:uid="{EE9BD3C9-1709-4D28-B2E1-C31A2574F744}"/>
    <hyperlink ref="M16" r:id="rId5" xr:uid="{D1CBFA9E-03A6-4E56-B4C5-3CAD42881ACE}"/>
    <hyperlink ref="M18" r:id="rId6" xr:uid="{94FE065A-B526-4405-BD53-398525590D42}"/>
  </hyperlinks>
  <pageMargins left="0.7" right="0.7" top="0.75" bottom="0.75" header="0.3" footer="0.3"/>
  <pageSetup paperSize="9" orientation="portrait" verticalDpi="0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59B8-6C45-4900-80A8-26E20A591A1F}">
  <dimension ref="A1:H31"/>
  <sheetViews>
    <sheetView workbookViewId="0">
      <selection activeCell="L7" sqref="L7"/>
    </sheetView>
  </sheetViews>
  <sheetFormatPr defaultRowHeight="14.5" x14ac:dyDescent="0.35"/>
  <cols>
    <col min="4" max="4" width="20.1796875" customWidth="1"/>
    <col min="5" max="5" width="22" customWidth="1"/>
  </cols>
  <sheetData>
    <row r="1" spans="1:8" ht="43.5" x14ac:dyDescent="0.35">
      <c r="A1" s="36" t="s">
        <v>328</v>
      </c>
      <c r="B1" s="36" t="s">
        <v>329</v>
      </c>
      <c r="C1" s="36" t="s">
        <v>330</v>
      </c>
      <c r="D1" s="36" t="s">
        <v>331</v>
      </c>
      <c r="E1" s="36" t="s">
        <v>332</v>
      </c>
      <c r="F1" s="36" t="s">
        <v>333</v>
      </c>
      <c r="G1" s="36" t="s">
        <v>334</v>
      </c>
      <c r="H1" s="36" t="s">
        <v>335</v>
      </c>
    </row>
    <row r="2" spans="1:8" x14ac:dyDescent="0.35">
      <c r="A2" s="37" t="s">
        <v>199</v>
      </c>
      <c r="B2" s="37">
        <v>307</v>
      </c>
      <c r="C2" s="37" t="s">
        <v>200</v>
      </c>
      <c r="D2" s="37" t="s">
        <v>336</v>
      </c>
      <c r="E2" s="37" t="s">
        <v>125</v>
      </c>
      <c r="F2" s="37">
        <v>1</v>
      </c>
      <c r="G2" s="38">
        <v>1</v>
      </c>
      <c r="H2" s="37" t="s">
        <v>337</v>
      </c>
    </row>
    <row r="3" spans="1:8" x14ac:dyDescent="0.35">
      <c r="A3" t="s">
        <v>199</v>
      </c>
      <c r="B3">
        <v>308</v>
      </c>
      <c r="C3" t="s">
        <v>200</v>
      </c>
      <c r="D3" t="s">
        <v>338</v>
      </c>
      <c r="E3" t="s">
        <v>125</v>
      </c>
      <c r="F3">
        <v>1</v>
      </c>
      <c r="G3">
        <v>1</v>
      </c>
      <c r="H3" t="s">
        <v>339</v>
      </c>
    </row>
    <row r="4" spans="1:8" x14ac:dyDescent="0.35">
      <c r="A4" s="38" t="s">
        <v>199</v>
      </c>
      <c r="B4" s="38">
        <v>310</v>
      </c>
      <c r="C4" s="38" t="s">
        <v>200</v>
      </c>
      <c r="D4" s="38" t="s">
        <v>340</v>
      </c>
      <c r="E4" s="38" t="s">
        <v>125</v>
      </c>
      <c r="F4" s="38">
        <v>1</v>
      </c>
      <c r="G4" s="38">
        <v>1</v>
      </c>
      <c r="H4" s="38" t="s">
        <v>337</v>
      </c>
    </row>
    <row r="5" spans="1:8" x14ac:dyDescent="0.35">
      <c r="A5" t="s">
        <v>199</v>
      </c>
      <c r="B5">
        <v>312</v>
      </c>
      <c r="C5" t="s">
        <v>200</v>
      </c>
      <c r="D5" t="s">
        <v>341</v>
      </c>
      <c r="E5" t="s">
        <v>127</v>
      </c>
      <c r="F5">
        <v>1</v>
      </c>
      <c r="G5">
        <v>1</v>
      </c>
      <c r="H5" t="s">
        <v>337</v>
      </c>
    </row>
    <row r="6" spans="1:8" x14ac:dyDescent="0.35">
      <c r="A6" s="38" t="s">
        <v>199</v>
      </c>
      <c r="B6" s="38">
        <v>313</v>
      </c>
      <c r="C6" s="38" t="s">
        <v>200</v>
      </c>
      <c r="D6" s="38" t="s">
        <v>342</v>
      </c>
      <c r="E6" s="38" t="s">
        <v>152</v>
      </c>
      <c r="F6" s="38">
        <v>0</v>
      </c>
      <c r="G6" s="38">
        <v>1</v>
      </c>
      <c r="H6" s="38" t="s">
        <v>337</v>
      </c>
    </row>
    <row r="7" spans="1:8" x14ac:dyDescent="0.35">
      <c r="A7" t="s">
        <v>129</v>
      </c>
      <c r="B7">
        <v>216</v>
      </c>
      <c r="C7" t="s">
        <v>130</v>
      </c>
      <c r="D7" t="s">
        <v>343</v>
      </c>
      <c r="E7" t="s">
        <v>127</v>
      </c>
      <c r="F7">
        <v>1</v>
      </c>
      <c r="G7">
        <v>0</v>
      </c>
      <c r="H7" t="s">
        <v>344</v>
      </c>
    </row>
    <row r="8" spans="1:8" x14ac:dyDescent="0.35">
      <c r="A8" s="38" t="s">
        <v>199</v>
      </c>
      <c r="B8" s="38">
        <v>317</v>
      </c>
      <c r="C8" s="38" t="s">
        <v>200</v>
      </c>
      <c r="D8" s="38" t="s">
        <v>345</v>
      </c>
      <c r="E8" s="38" t="s">
        <v>125</v>
      </c>
      <c r="F8" s="38">
        <v>0</v>
      </c>
      <c r="G8" s="38">
        <v>1</v>
      </c>
      <c r="H8" s="38" t="s">
        <v>339</v>
      </c>
    </row>
    <row r="9" spans="1:8" x14ac:dyDescent="0.35">
      <c r="A9" t="s">
        <v>108</v>
      </c>
      <c r="B9">
        <v>402</v>
      </c>
      <c r="C9" t="s">
        <v>109</v>
      </c>
      <c r="D9" t="s">
        <v>346</v>
      </c>
      <c r="E9" t="s">
        <v>125</v>
      </c>
      <c r="F9">
        <v>1</v>
      </c>
      <c r="G9">
        <v>0</v>
      </c>
      <c r="H9" t="s">
        <v>339</v>
      </c>
    </row>
    <row r="10" spans="1:8" x14ac:dyDescent="0.35">
      <c r="A10" s="38" t="s">
        <v>199</v>
      </c>
      <c r="B10" s="38">
        <v>321</v>
      </c>
      <c r="C10" s="38" t="s">
        <v>200</v>
      </c>
      <c r="D10" s="38" t="s">
        <v>347</v>
      </c>
      <c r="E10" s="38" t="s">
        <v>125</v>
      </c>
      <c r="F10" s="38">
        <v>1</v>
      </c>
      <c r="G10" s="38">
        <v>1</v>
      </c>
      <c r="H10" s="38" t="s">
        <v>337</v>
      </c>
    </row>
    <row r="11" spans="1:8" x14ac:dyDescent="0.35">
      <c r="A11" t="s">
        <v>199</v>
      </c>
      <c r="B11">
        <v>353</v>
      </c>
      <c r="C11" t="s">
        <v>200</v>
      </c>
      <c r="D11" t="s">
        <v>348</v>
      </c>
      <c r="E11" t="s">
        <v>125</v>
      </c>
      <c r="F11">
        <v>1</v>
      </c>
      <c r="G11">
        <v>1</v>
      </c>
      <c r="H11" t="s">
        <v>337</v>
      </c>
    </row>
    <row r="12" spans="1:8" x14ac:dyDescent="0.35">
      <c r="A12" s="38" t="s">
        <v>199</v>
      </c>
      <c r="B12" s="38">
        <v>327</v>
      </c>
      <c r="C12" s="38" t="s">
        <v>200</v>
      </c>
      <c r="D12" s="38" t="s">
        <v>349</v>
      </c>
      <c r="E12" s="38" t="s">
        <v>125</v>
      </c>
      <c r="F12" s="38">
        <v>0</v>
      </c>
      <c r="G12" s="38">
        <v>1</v>
      </c>
      <c r="H12" s="38" t="s">
        <v>337</v>
      </c>
    </row>
    <row r="13" spans="1:8" x14ac:dyDescent="0.35">
      <c r="A13" t="s">
        <v>199</v>
      </c>
      <c r="B13">
        <v>331</v>
      </c>
      <c r="C13" t="s">
        <v>200</v>
      </c>
      <c r="D13" t="s">
        <v>350</v>
      </c>
      <c r="E13" t="s">
        <v>122</v>
      </c>
      <c r="F13">
        <v>1</v>
      </c>
      <c r="G13">
        <v>1</v>
      </c>
      <c r="H13" t="s">
        <v>337</v>
      </c>
    </row>
    <row r="14" spans="1:8" x14ac:dyDescent="0.35">
      <c r="A14" s="38" t="s">
        <v>199</v>
      </c>
      <c r="B14" s="38">
        <v>335</v>
      </c>
      <c r="C14" s="38" t="s">
        <v>200</v>
      </c>
      <c r="D14" s="38" t="s">
        <v>351</v>
      </c>
      <c r="E14" s="38" t="s">
        <v>125</v>
      </c>
      <c r="F14" s="38">
        <v>1</v>
      </c>
      <c r="G14" s="38">
        <v>1</v>
      </c>
      <c r="H14" s="38" t="s">
        <v>337</v>
      </c>
    </row>
    <row r="15" spans="1:8" x14ac:dyDescent="0.35">
      <c r="A15" t="s">
        <v>199</v>
      </c>
      <c r="B15">
        <v>356</v>
      </c>
      <c r="C15" t="s">
        <v>200</v>
      </c>
      <c r="D15" t="s">
        <v>352</v>
      </c>
      <c r="E15" t="s">
        <v>125</v>
      </c>
      <c r="F15">
        <v>1</v>
      </c>
      <c r="G15">
        <v>1</v>
      </c>
      <c r="H15" t="s">
        <v>337</v>
      </c>
    </row>
    <row r="16" spans="1:8" x14ac:dyDescent="0.35">
      <c r="A16" s="38" t="s">
        <v>112</v>
      </c>
      <c r="B16" s="38">
        <v>569</v>
      </c>
      <c r="C16" s="38" t="s">
        <v>113</v>
      </c>
      <c r="D16" s="38" t="s">
        <v>353</v>
      </c>
      <c r="E16" s="38" t="s">
        <v>110</v>
      </c>
      <c r="F16" s="38">
        <v>1</v>
      </c>
      <c r="G16" s="38">
        <v>0</v>
      </c>
      <c r="H16" s="38" t="s">
        <v>354</v>
      </c>
    </row>
    <row r="17" spans="1:8" x14ac:dyDescent="0.35">
      <c r="A17" t="s">
        <v>199</v>
      </c>
      <c r="B17">
        <v>589</v>
      </c>
      <c r="C17" t="s">
        <v>200</v>
      </c>
      <c r="D17" t="s">
        <v>355</v>
      </c>
      <c r="E17" t="s">
        <v>149</v>
      </c>
      <c r="F17">
        <v>1</v>
      </c>
      <c r="G17">
        <v>1</v>
      </c>
      <c r="H17" t="s">
        <v>337</v>
      </c>
    </row>
    <row r="18" spans="1:8" x14ac:dyDescent="0.35">
      <c r="A18" s="38" t="s">
        <v>199</v>
      </c>
      <c r="B18" s="38">
        <v>339</v>
      </c>
      <c r="C18" s="38" t="s">
        <v>200</v>
      </c>
      <c r="D18" s="38" t="s">
        <v>356</v>
      </c>
      <c r="E18" s="38" t="s">
        <v>127</v>
      </c>
      <c r="F18" s="38">
        <v>0</v>
      </c>
      <c r="G18" s="38">
        <v>1</v>
      </c>
      <c r="H18" s="38" t="s">
        <v>344</v>
      </c>
    </row>
    <row r="19" spans="1:8" x14ac:dyDescent="0.35">
      <c r="A19" t="s">
        <v>199</v>
      </c>
      <c r="B19">
        <v>340</v>
      </c>
      <c r="C19" t="s">
        <v>200</v>
      </c>
      <c r="D19" t="s">
        <v>357</v>
      </c>
      <c r="E19" t="s">
        <v>127</v>
      </c>
      <c r="F19">
        <v>0</v>
      </c>
      <c r="G19">
        <v>1</v>
      </c>
      <c r="H19" t="s">
        <v>344</v>
      </c>
    </row>
    <row r="20" spans="1:8" x14ac:dyDescent="0.35">
      <c r="A20" s="38" t="s">
        <v>199</v>
      </c>
      <c r="B20" s="38">
        <v>736</v>
      </c>
      <c r="C20" s="38" t="s">
        <v>200</v>
      </c>
      <c r="D20" s="38" t="s">
        <v>358</v>
      </c>
      <c r="E20" s="38" t="s">
        <v>125</v>
      </c>
      <c r="F20" s="38">
        <v>1</v>
      </c>
      <c r="G20" s="38">
        <v>1</v>
      </c>
      <c r="H20" s="38" t="s">
        <v>339</v>
      </c>
    </row>
    <row r="21" spans="1:8" x14ac:dyDescent="0.35">
      <c r="A21" t="s">
        <v>199</v>
      </c>
      <c r="B21">
        <v>342</v>
      </c>
      <c r="C21" t="s">
        <v>200</v>
      </c>
      <c r="D21" t="s">
        <v>359</v>
      </c>
      <c r="E21" t="s">
        <v>125</v>
      </c>
      <c r="F21">
        <v>1</v>
      </c>
      <c r="G21">
        <v>1</v>
      </c>
      <c r="H21" t="s">
        <v>337</v>
      </c>
    </row>
    <row r="22" spans="1:8" x14ac:dyDescent="0.35">
      <c r="A22" s="38" t="s">
        <v>199</v>
      </c>
      <c r="B22" s="38">
        <v>1904</v>
      </c>
      <c r="C22" s="38" t="s">
        <v>200</v>
      </c>
      <c r="D22" s="38" t="s">
        <v>360</v>
      </c>
      <c r="E22" s="38" t="s">
        <v>125</v>
      </c>
      <c r="F22" s="38">
        <v>1</v>
      </c>
      <c r="G22" s="38">
        <v>1</v>
      </c>
      <c r="H22" s="38" t="s">
        <v>337</v>
      </c>
    </row>
    <row r="23" spans="1:8" x14ac:dyDescent="0.35">
      <c r="A23" t="s">
        <v>108</v>
      </c>
      <c r="B23">
        <v>451</v>
      </c>
      <c r="C23" t="s">
        <v>109</v>
      </c>
      <c r="D23" t="s">
        <v>361</v>
      </c>
      <c r="E23" t="s">
        <v>125</v>
      </c>
      <c r="F23">
        <v>1</v>
      </c>
      <c r="G23">
        <v>0</v>
      </c>
      <c r="H23" t="s">
        <v>354</v>
      </c>
    </row>
    <row r="24" spans="1:8" x14ac:dyDescent="0.35">
      <c r="A24" s="38" t="s">
        <v>199</v>
      </c>
      <c r="B24" s="38">
        <v>344</v>
      </c>
      <c r="C24" s="38" t="s">
        <v>200</v>
      </c>
      <c r="D24" s="38" t="s">
        <v>200</v>
      </c>
      <c r="E24" s="38" t="s">
        <v>125</v>
      </c>
      <c r="F24" s="38">
        <v>1</v>
      </c>
      <c r="G24" s="38">
        <v>1</v>
      </c>
      <c r="H24" s="38" t="s">
        <v>337</v>
      </c>
    </row>
    <row r="25" spans="1:8" x14ac:dyDescent="0.35">
      <c r="A25" t="s">
        <v>199</v>
      </c>
      <c r="B25">
        <v>1581</v>
      </c>
      <c r="C25" t="s">
        <v>200</v>
      </c>
      <c r="D25" t="s">
        <v>362</v>
      </c>
      <c r="E25" t="s">
        <v>127</v>
      </c>
      <c r="F25">
        <v>0</v>
      </c>
      <c r="G25">
        <v>1</v>
      </c>
      <c r="H25" t="s">
        <v>344</v>
      </c>
    </row>
    <row r="26" spans="1:8" x14ac:dyDescent="0.35">
      <c r="A26" s="38" t="s">
        <v>199</v>
      </c>
      <c r="B26" s="38">
        <v>345</v>
      </c>
      <c r="C26" s="38" t="s">
        <v>200</v>
      </c>
      <c r="D26" s="38" t="s">
        <v>363</v>
      </c>
      <c r="E26" s="38" t="s">
        <v>127</v>
      </c>
      <c r="F26" s="38">
        <v>0</v>
      </c>
      <c r="G26" s="38">
        <v>1</v>
      </c>
      <c r="H26" s="38" t="s">
        <v>344</v>
      </c>
    </row>
    <row r="27" spans="1:8" x14ac:dyDescent="0.35">
      <c r="A27" t="s">
        <v>108</v>
      </c>
      <c r="B27">
        <v>1696</v>
      </c>
      <c r="C27" t="s">
        <v>109</v>
      </c>
      <c r="D27" t="s">
        <v>364</v>
      </c>
      <c r="E27" t="s">
        <v>125</v>
      </c>
      <c r="F27">
        <v>1</v>
      </c>
      <c r="G27">
        <v>0</v>
      </c>
      <c r="H27" t="s">
        <v>339</v>
      </c>
    </row>
    <row r="28" spans="1:8" x14ac:dyDescent="0.35">
      <c r="A28" s="38" t="s">
        <v>199</v>
      </c>
      <c r="B28" s="38">
        <v>352</v>
      </c>
      <c r="C28" s="38" t="s">
        <v>200</v>
      </c>
      <c r="D28" s="38" t="s">
        <v>365</v>
      </c>
      <c r="E28" s="38" t="s">
        <v>127</v>
      </c>
      <c r="F28" s="38">
        <v>0</v>
      </c>
      <c r="G28" s="38">
        <v>1</v>
      </c>
      <c r="H28" s="38" t="s">
        <v>344</v>
      </c>
    </row>
    <row r="29" spans="1:8" x14ac:dyDescent="0.35">
      <c r="A29" t="s">
        <v>199</v>
      </c>
      <c r="B29">
        <v>632</v>
      </c>
      <c r="C29" t="s">
        <v>200</v>
      </c>
      <c r="D29" t="s">
        <v>366</v>
      </c>
      <c r="E29" t="s">
        <v>125</v>
      </c>
      <c r="F29">
        <v>1</v>
      </c>
      <c r="G29">
        <v>1</v>
      </c>
      <c r="H29" t="s">
        <v>337</v>
      </c>
    </row>
    <row r="30" spans="1:8" x14ac:dyDescent="0.35">
      <c r="A30" s="38" t="s">
        <v>199</v>
      </c>
      <c r="B30" s="38">
        <v>351</v>
      </c>
      <c r="C30" s="38" t="s">
        <v>200</v>
      </c>
      <c r="D30" s="38" t="s">
        <v>367</v>
      </c>
      <c r="E30" s="38" t="s">
        <v>125</v>
      </c>
      <c r="F30" s="38">
        <v>0</v>
      </c>
      <c r="G30" s="38">
        <v>1</v>
      </c>
      <c r="H30" s="38" t="s">
        <v>337</v>
      </c>
    </row>
    <row r="31" spans="1:8" x14ac:dyDescent="0.35">
      <c r="A31" s="39" t="s">
        <v>199</v>
      </c>
      <c r="B31" s="39">
        <v>355</v>
      </c>
      <c r="C31" s="39" t="s">
        <v>200</v>
      </c>
      <c r="D31" s="39" t="s">
        <v>368</v>
      </c>
      <c r="E31" s="39" t="s">
        <v>127</v>
      </c>
      <c r="F31" s="39">
        <v>1</v>
      </c>
      <c r="G31" s="39">
        <v>1</v>
      </c>
      <c r="H31" s="39" t="s">
        <v>337</v>
      </c>
    </row>
  </sheetData>
  <conditionalFormatting sqref="D2:D31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1D0C-03AA-4369-BE2C-E9E78D675083}">
  <sheetPr codeName="Sheet5"/>
  <dimension ref="A1:O40"/>
  <sheetViews>
    <sheetView zoomScale="85" zoomScaleNormal="85" workbookViewId="0">
      <selection activeCell="F51" sqref="F51"/>
    </sheetView>
  </sheetViews>
  <sheetFormatPr defaultRowHeight="14.5" x14ac:dyDescent="0.35"/>
  <cols>
    <col min="2" max="2" width="15.08984375" bestFit="1" customWidth="1"/>
    <col min="3" max="3" width="6.6328125" bestFit="1" customWidth="1"/>
    <col min="4" max="4" width="7.1796875" bestFit="1" customWidth="1"/>
    <col min="5" max="5" width="6.81640625" bestFit="1" customWidth="1"/>
    <col min="6" max="6" width="9.81640625" customWidth="1"/>
    <col min="7" max="7" width="11.453125" style="9" bestFit="1" customWidth="1"/>
    <col min="8" max="8" width="9.6328125" bestFit="1" customWidth="1"/>
  </cols>
  <sheetData>
    <row r="1" spans="1:15" x14ac:dyDescent="0.35">
      <c r="A1" s="4" t="s">
        <v>236</v>
      </c>
      <c r="B1" s="41" t="s">
        <v>235</v>
      </c>
      <c r="C1" s="41"/>
      <c r="D1" s="41"/>
      <c r="E1" s="41"/>
      <c r="F1" s="41"/>
      <c r="G1" s="16" t="s">
        <v>234</v>
      </c>
      <c r="H1" s="4" t="s">
        <v>233</v>
      </c>
      <c r="I1" s="4" t="s">
        <v>232</v>
      </c>
    </row>
    <row r="2" spans="1:15" x14ac:dyDescent="0.35">
      <c r="A2" t="s">
        <v>62</v>
      </c>
      <c r="B2" s="25" t="s">
        <v>154</v>
      </c>
      <c r="C2" s="25" t="s">
        <v>87</v>
      </c>
      <c r="D2" s="25"/>
      <c r="E2" s="25"/>
      <c r="F2" s="25"/>
      <c r="G2" s="9">
        <v>2</v>
      </c>
      <c r="H2" s="9">
        <v>4</v>
      </c>
      <c r="I2" s="9">
        <f t="shared" ref="I2:I39" si="0">(H2/G2)/2</f>
        <v>1</v>
      </c>
    </row>
    <row r="3" spans="1:15" x14ac:dyDescent="0.35">
      <c r="A3" t="s">
        <v>118</v>
      </c>
      <c r="B3" s="25" t="s">
        <v>127</v>
      </c>
      <c r="C3" s="25" t="s">
        <v>79</v>
      </c>
      <c r="D3" s="25"/>
      <c r="E3" s="25"/>
      <c r="F3" s="25"/>
      <c r="G3" s="9">
        <v>2</v>
      </c>
      <c r="H3" s="9">
        <v>4</v>
      </c>
      <c r="I3" s="9">
        <f t="shared" si="0"/>
        <v>1</v>
      </c>
    </row>
    <row r="4" spans="1:15" x14ac:dyDescent="0.35">
      <c r="A4" t="s">
        <v>114</v>
      </c>
      <c r="B4" s="25" t="s">
        <v>172</v>
      </c>
      <c r="C4" s="25"/>
      <c r="D4" s="25"/>
      <c r="E4" s="25"/>
      <c r="F4" s="25"/>
      <c r="G4" s="9">
        <v>1</v>
      </c>
      <c r="H4" s="9">
        <v>2</v>
      </c>
      <c r="I4" s="9">
        <f t="shared" si="0"/>
        <v>1</v>
      </c>
      <c r="J4" s="42" t="s">
        <v>231</v>
      </c>
      <c r="K4" s="42"/>
      <c r="L4" s="42"/>
      <c r="M4" s="42"/>
      <c r="N4" s="42"/>
      <c r="O4" s="42"/>
    </row>
    <row r="5" spans="1:15" x14ac:dyDescent="0.35">
      <c r="A5" t="s">
        <v>106</v>
      </c>
      <c r="B5" s="25" t="s">
        <v>110</v>
      </c>
      <c r="C5" s="25" t="s">
        <v>82</v>
      </c>
      <c r="D5" s="25" t="s">
        <v>88</v>
      </c>
      <c r="E5" s="25"/>
      <c r="F5" s="25"/>
      <c r="G5" s="9">
        <v>3</v>
      </c>
      <c r="H5" s="9">
        <v>6</v>
      </c>
      <c r="I5" s="9">
        <f t="shared" si="0"/>
        <v>1</v>
      </c>
      <c r="J5" s="42"/>
      <c r="K5" s="42"/>
      <c r="L5" s="42"/>
      <c r="M5" s="42"/>
      <c r="N5" s="42"/>
      <c r="O5" s="42"/>
    </row>
    <row r="6" spans="1:15" x14ac:dyDescent="0.35">
      <c r="A6" t="s">
        <v>110</v>
      </c>
      <c r="B6" s="25" t="s">
        <v>106</v>
      </c>
      <c r="C6" s="25" t="s">
        <v>76</v>
      </c>
      <c r="D6" s="25" t="s">
        <v>88</v>
      </c>
      <c r="E6" s="25" t="s">
        <v>89</v>
      </c>
      <c r="F6" s="25"/>
      <c r="G6" s="9">
        <v>4</v>
      </c>
      <c r="H6" s="9">
        <v>8</v>
      </c>
      <c r="I6" s="9">
        <f t="shared" si="0"/>
        <v>1</v>
      </c>
      <c r="J6" s="42"/>
      <c r="K6" s="42"/>
      <c r="L6" s="42"/>
      <c r="M6" s="42"/>
      <c r="N6" s="42"/>
      <c r="O6" s="42"/>
    </row>
    <row r="7" spans="1:15" x14ac:dyDescent="0.35">
      <c r="A7" t="s">
        <v>122</v>
      </c>
      <c r="B7" s="25" t="s">
        <v>149</v>
      </c>
      <c r="C7" s="25" t="s">
        <v>85</v>
      </c>
      <c r="D7" s="25"/>
      <c r="E7" s="25"/>
      <c r="F7" s="25"/>
      <c r="G7" s="9">
        <v>2</v>
      </c>
      <c r="H7" s="9">
        <v>4</v>
      </c>
      <c r="I7" s="9">
        <f t="shared" si="0"/>
        <v>1</v>
      </c>
      <c r="J7" s="42"/>
      <c r="K7" s="42"/>
      <c r="L7" s="42"/>
      <c r="M7" s="42"/>
      <c r="N7" s="42"/>
      <c r="O7" s="42"/>
    </row>
    <row r="8" spans="1:15" x14ac:dyDescent="0.35">
      <c r="A8" t="s">
        <v>230</v>
      </c>
      <c r="B8" s="25" t="s">
        <v>164</v>
      </c>
      <c r="C8" s="25"/>
      <c r="D8" s="25"/>
      <c r="E8" s="25"/>
      <c r="F8" s="25"/>
      <c r="G8" s="9">
        <v>1</v>
      </c>
      <c r="H8" s="9">
        <v>2</v>
      </c>
      <c r="I8" s="9">
        <f t="shared" si="0"/>
        <v>1</v>
      </c>
      <c r="J8" s="42"/>
      <c r="K8" s="42"/>
      <c r="L8" s="42"/>
      <c r="M8" s="42"/>
      <c r="N8" s="42"/>
      <c r="O8" s="42"/>
    </row>
    <row r="9" spans="1:15" x14ac:dyDescent="0.35">
      <c r="A9" t="s">
        <v>125</v>
      </c>
      <c r="B9" s="25" t="s">
        <v>149</v>
      </c>
      <c r="C9" s="25" t="s">
        <v>77</v>
      </c>
      <c r="D9" s="25" t="s">
        <v>82</v>
      </c>
      <c r="E9" s="25"/>
      <c r="F9" s="25"/>
      <c r="G9" s="9">
        <v>3</v>
      </c>
      <c r="H9" s="9">
        <v>6</v>
      </c>
      <c r="I9" s="9">
        <f t="shared" si="0"/>
        <v>1</v>
      </c>
      <c r="J9" s="42"/>
      <c r="K9" s="42"/>
      <c r="L9" s="42"/>
      <c r="M9" s="42"/>
      <c r="N9" s="42"/>
      <c r="O9" s="42"/>
    </row>
    <row r="10" spans="1:15" x14ac:dyDescent="0.35">
      <c r="A10" t="s">
        <v>127</v>
      </c>
      <c r="B10" s="25" t="s">
        <v>118</v>
      </c>
      <c r="C10" s="25" t="s">
        <v>70</v>
      </c>
      <c r="D10" s="25"/>
      <c r="E10" s="25"/>
      <c r="F10" s="25"/>
      <c r="G10" s="9">
        <v>2</v>
      </c>
      <c r="H10" s="9">
        <v>4</v>
      </c>
      <c r="I10" s="9">
        <f t="shared" si="0"/>
        <v>1</v>
      </c>
      <c r="J10" s="42"/>
      <c r="K10" s="42"/>
      <c r="L10" s="42"/>
      <c r="M10" s="42"/>
      <c r="N10" s="42"/>
      <c r="O10" s="42"/>
    </row>
    <row r="11" spans="1:15" x14ac:dyDescent="0.35">
      <c r="A11" t="s">
        <v>131</v>
      </c>
      <c r="B11" s="25" t="s">
        <v>127</v>
      </c>
      <c r="C11" s="25" t="s">
        <v>75</v>
      </c>
      <c r="D11" s="25" t="s">
        <v>67</v>
      </c>
      <c r="E11" s="25"/>
      <c r="F11" s="25"/>
      <c r="G11" s="9">
        <v>2</v>
      </c>
      <c r="H11" s="9">
        <v>4</v>
      </c>
      <c r="I11" s="9">
        <f t="shared" si="0"/>
        <v>1</v>
      </c>
      <c r="J11" s="42"/>
      <c r="K11" s="42"/>
      <c r="L11" s="42"/>
      <c r="M11" s="42"/>
      <c r="N11" s="42"/>
      <c r="O11" s="42"/>
    </row>
    <row r="12" spans="1:15" x14ac:dyDescent="0.35">
      <c r="A12" t="s">
        <v>133</v>
      </c>
      <c r="B12" s="25" t="s">
        <v>164</v>
      </c>
      <c r="C12" s="25" t="s">
        <v>87</v>
      </c>
      <c r="D12" s="25" t="s">
        <v>90</v>
      </c>
      <c r="E12" s="25" t="s">
        <v>60</v>
      </c>
      <c r="F12" s="25" t="s">
        <v>229</v>
      </c>
      <c r="G12" s="9">
        <v>3</v>
      </c>
      <c r="H12" s="9">
        <v>6</v>
      </c>
      <c r="I12" s="9">
        <f t="shared" si="0"/>
        <v>1</v>
      </c>
    </row>
    <row r="13" spans="1:15" x14ac:dyDescent="0.35">
      <c r="A13" t="s">
        <v>137</v>
      </c>
      <c r="B13" s="25" t="s">
        <v>157</v>
      </c>
      <c r="C13" s="25" t="s">
        <v>86</v>
      </c>
      <c r="D13" s="25"/>
      <c r="E13" s="25"/>
      <c r="F13" s="25"/>
      <c r="G13" s="9">
        <v>2</v>
      </c>
      <c r="H13" s="9">
        <v>4</v>
      </c>
      <c r="I13" s="9">
        <f t="shared" si="0"/>
        <v>1</v>
      </c>
    </row>
    <row r="14" spans="1:15" x14ac:dyDescent="0.35">
      <c r="A14" t="s">
        <v>139</v>
      </c>
      <c r="B14" s="25" t="s">
        <v>221</v>
      </c>
      <c r="C14" s="25" t="s">
        <v>77</v>
      </c>
      <c r="D14" s="25" t="s">
        <v>83</v>
      </c>
      <c r="E14" s="25" t="s">
        <v>87</v>
      </c>
      <c r="F14" s="25" t="s">
        <v>93</v>
      </c>
      <c r="G14" s="9">
        <v>5</v>
      </c>
      <c r="H14" s="9">
        <v>10</v>
      </c>
      <c r="I14" s="9">
        <f t="shared" si="0"/>
        <v>1</v>
      </c>
    </row>
    <row r="15" spans="1:15" x14ac:dyDescent="0.35">
      <c r="A15" t="s">
        <v>228</v>
      </c>
      <c r="B15" s="25" t="s">
        <v>157</v>
      </c>
      <c r="C15" s="25"/>
      <c r="D15" s="25"/>
      <c r="E15" s="25"/>
      <c r="F15" s="25"/>
      <c r="G15" s="9">
        <v>1</v>
      </c>
      <c r="H15" s="9">
        <v>2</v>
      </c>
      <c r="I15" s="9">
        <f t="shared" si="0"/>
        <v>1</v>
      </c>
    </row>
    <row r="16" spans="1:15" x14ac:dyDescent="0.35">
      <c r="A16" t="s">
        <v>143</v>
      </c>
      <c r="B16" s="25" t="s">
        <v>149</v>
      </c>
      <c r="C16" s="25" t="s">
        <v>84</v>
      </c>
      <c r="D16" s="25" t="s">
        <v>86</v>
      </c>
      <c r="E16" s="25"/>
      <c r="F16" s="25"/>
      <c r="G16" s="9">
        <v>3</v>
      </c>
      <c r="H16" s="9">
        <v>6</v>
      </c>
      <c r="I16" s="9">
        <f t="shared" si="0"/>
        <v>1</v>
      </c>
    </row>
    <row r="17" spans="1:9" x14ac:dyDescent="0.35">
      <c r="A17" t="s">
        <v>227</v>
      </c>
      <c r="B17" s="25" t="s">
        <v>145</v>
      </c>
      <c r="C17" s="25"/>
      <c r="D17" s="25"/>
      <c r="E17" s="25"/>
      <c r="F17" s="25"/>
      <c r="G17" s="9">
        <v>1</v>
      </c>
      <c r="H17" s="9">
        <v>2</v>
      </c>
      <c r="I17" s="9">
        <f t="shared" si="0"/>
        <v>1</v>
      </c>
    </row>
    <row r="18" spans="1:9" x14ac:dyDescent="0.35">
      <c r="A18" t="s">
        <v>145</v>
      </c>
      <c r="B18" s="25" t="s">
        <v>131</v>
      </c>
      <c r="C18" s="25" t="s">
        <v>226</v>
      </c>
      <c r="D18" s="25" t="s">
        <v>93</v>
      </c>
      <c r="E18" s="25"/>
      <c r="F18" s="25"/>
      <c r="G18" s="9">
        <v>3</v>
      </c>
      <c r="H18" s="9">
        <v>6</v>
      </c>
      <c r="I18" s="9">
        <f t="shared" si="0"/>
        <v>1</v>
      </c>
    </row>
    <row r="19" spans="1:9" x14ac:dyDescent="0.35">
      <c r="A19" s="48" t="s">
        <v>221</v>
      </c>
      <c r="B19" s="25" t="s">
        <v>139</v>
      </c>
      <c r="C19" s="25" t="s">
        <v>92</v>
      </c>
      <c r="D19" s="25"/>
      <c r="E19" s="25"/>
      <c r="F19" s="25"/>
      <c r="G19" s="9">
        <v>2</v>
      </c>
      <c r="H19" s="9">
        <v>4</v>
      </c>
      <c r="I19" s="9">
        <f t="shared" si="0"/>
        <v>1</v>
      </c>
    </row>
    <row r="20" spans="1:9" x14ac:dyDescent="0.35">
      <c r="A20" t="s">
        <v>149</v>
      </c>
      <c r="B20" s="25" t="s">
        <v>110</v>
      </c>
      <c r="C20" s="25" t="s">
        <v>68</v>
      </c>
      <c r="D20" s="25" t="s">
        <v>69</v>
      </c>
      <c r="E20" s="25" t="s">
        <v>74</v>
      </c>
      <c r="F20" s="25"/>
      <c r="G20" s="9">
        <v>4</v>
      </c>
      <c r="H20" s="9">
        <v>8</v>
      </c>
      <c r="I20" s="9">
        <f t="shared" si="0"/>
        <v>1</v>
      </c>
    </row>
    <row r="21" spans="1:9" x14ac:dyDescent="0.35">
      <c r="A21" t="s">
        <v>152</v>
      </c>
      <c r="B21" s="25" t="s">
        <v>125</v>
      </c>
      <c r="C21" s="25" t="s">
        <v>73</v>
      </c>
      <c r="D21" s="25"/>
      <c r="E21" s="25"/>
      <c r="F21" s="25"/>
      <c r="G21" s="9">
        <v>2</v>
      </c>
      <c r="H21" s="9">
        <v>4</v>
      </c>
      <c r="I21" s="9">
        <f t="shared" si="0"/>
        <v>1</v>
      </c>
    </row>
    <row r="22" spans="1:9" x14ac:dyDescent="0.35">
      <c r="A22" t="s">
        <v>154</v>
      </c>
      <c r="B22" s="25" t="s">
        <v>62</v>
      </c>
      <c r="C22" s="25" t="s">
        <v>83</v>
      </c>
      <c r="D22" s="25"/>
      <c r="E22" s="25"/>
      <c r="F22" s="25"/>
      <c r="G22" s="9">
        <v>2</v>
      </c>
      <c r="H22" s="9">
        <v>4</v>
      </c>
      <c r="I22" s="9">
        <f t="shared" si="0"/>
        <v>1</v>
      </c>
    </row>
    <row r="23" spans="1:9" x14ac:dyDescent="0.35">
      <c r="A23" t="s">
        <v>157</v>
      </c>
      <c r="B23" s="25" t="s">
        <v>118</v>
      </c>
      <c r="C23" s="25" t="s">
        <v>72</v>
      </c>
      <c r="D23" s="25" t="s">
        <v>225</v>
      </c>
      <c r="E23" s="25" t="s">
        <v>65</v>
      </c>
      <c r="G23" s="9">
        <v>4</v>
      </c>
      <c r="H23" s="9">
        <v>8</v>
      </c>
      <c r="I23" s="9">
        <f t="shared" si="0"/>
        <v>1</v>
      </c>
    </row>
    <row r="24" spans="1:9" x14ac:dyDescent="0.35">
      <c r="A24" t="s">
        <v>164</v>
      </c>
      <c r="B24" s="25" t="s">
        <v>57</v>
      </c>
      <c r="C24" s="25" t="s">
        <v>71</v>
      </c>
      <c r="D24" s="25" t="s">
        <v>90</v>
      </c>
      <c r="E24" s="25" t="s">
        <v>93</v>
      </c>
      <c r="F24" s="25"/>
      <c r="G24" s="9">
        <v>4</v>
      </c>
      <c r="H24" s="9">
        <v>8</v>
      </c>
      <c r="I24" s="9">
        <f t="shared" si="0"/>
        <v>1</v>
      </c>
    </row>
    <row r="25" spans="1:9" x14ac:dyDescent="0.35">
      <c r="A25" t="s">
        <v>161</v>
      </c>
      <c r="B25" s="25" t="s">
        <v>174</v>
      </c>
      <c r="C25" s="25" t="s">
        <v>91</v>
      </c>
      <c r="D25" s="25" t="s">
        <v>59</v>
      </c>
      <c r="E25" s="25"/>
      <c r="F25" s="25"/>
      <c r="G25" s="9">
        <v>2</v>
      </c>
      <c r="H25" s="9">
        <v>4</v>
      </c>
      <c r="I25" s="9">
        <f t="shared" si="0"/>
        <v>1</v>
      </c>
    </row>
    <row r="26" spans="1:9" x14ac:dyDescent="0.35">
      <c r="A26" t="s">
        <v>169</v>
      </c>
      <c r="B26" s="25" t="s">
        <v>139</v>
      </c>
      <c r="C26" s="25" t="s">
        <v>78</v>
      </c>
      <c r="D26" s="25"/>
      <c r="E26" s="25"/>
      <c r="F26" s="25"/>
      <c r="G26" s="9">
        <v>2</v>
      </c>
      <c r="H26" s="9">
        <v>4</v>
      </c>
      <c r="I26" s="9">
        <f t="shared" si="0"/>
        <v>1</v>
      </c>
    </row>
    <row r="27" spans="1:9" x14ac:dyDescent="0.35">
      <c r="A27" t="s">
        <v>167</v>
      </c>
      <c r="B27" s="25" t="s">
        <v>106</v>
      </c>
      <c r="C27" s="25" t="s">
        <v>69</v>
      </c>
      <c r="D27" s="25"/>
      <c r="E27" s="25"/>
      <c r="F27" s="25"/>
      <c r="G27" s="9">
        <v>2</v>
      </c>
      <c r="H27" s="9">
        <v>4</v>
      </c>
      <c r="I27" s="9">
        <f t="shared" si="0"/>
        <v>1</v>
      </c>
    </row>
    <row r="28" spans="1:9" x14ac:dyDescent="0.35">
      <c r="A28" t="s">
        <v>172</v>
      </c>
      <c r="B28" s="25" t="s">
        <v>114</v>
      </c>
      <c r="C28" s="25" t="s">
        <v>74</v>
      </c>
      <c r="D28" s="25" t="s">
        <v>86</v>
      </c>
      <c r="E28" s="25" t="s">
        <v>224</v>
      </c>
      <c r="F28" s="25"/>
      <c r="G28" s="9">
        <v>4</v>
      </c>
      <c r="H28" s="9">
        <v>8</v>
      </c>
      <c r="I28" s="9">
        <f t="shared" si="0"/>
        <v>1</v>
      </c>
    </row>
    <row r="29" spans="1:9" x14ac:dyDescent="0.35">
      <c r="A29" t="s">
        <v>223</v>
      </c>
      <c r="B29" s="25" t="s">
        <v>157</v>
      </c>
      <c r="C29" s="25"/>
      <c r="D29" s="25"/>
      <c r="E29" s="25"/>
      <c r="F29" s="25"/>
      <c r="G29" s="9">
        <v>1</v>
      </c>
      <c r="H29" s="9">
        <v>2</v>
      </c>
      <c r="I29" s="9">
        <f t="shared" si="0"/>
        <v>1</v>
      </c>
    </row>
    <row r="30" spans="1:9" x14ac:dyDescent="0.35">
      <c r="A30" t="s">
        <v>174</v>
      </c>
      <c r="B30" s="25" t="s">
        <v>122</v>
      </c>
      <c r="C30" s="25" t="s">
        <v>80</v>
      </c>
      <c r="D30" s="25"/>
      <c r="E30" s="25"/>
      <c r="F30" s="25"/>
      <c r="G30" s="9">
        <v>2</v>
      </c>
      <c r="H30" s="9">
        <v>4</v>
      </c>
      <c r="I30" s="9">
        <f t="shared" si="0"/>
        <v>1</v>
      </c>
    </row>
    <row r="31" spans="1:9" x14ac:dyDescent="0.35">
      <c r="A31" t="s">
        <v>176</v>
      </c>
      <c r="B31" s="25" t="s">
        <v>137</v>
      </c>
      <c r="C31" s="25" t="s">
        <v>74</v>
      </c>
      <c r="D31" s="25" t="s">
        <v>84</v>
      </c>
      <c r="E31" s="25"/>
      <c r="F31" s="25"/>
      <c r="G31" s="9">
        <v>3</v>
      </c>
      <c r="H31" s="9">
        <v>6</v>
      </c>
      <c r="I31" s="9">
        <f t="shared" si="0"/>
        <v>1</v>
      </c>
    </row>
    <row r="32" spans="1:9" x14ac:dyDescent="0.35">
      <c r="A32" t="s">
        <v>181</v>
      </c>
      <c r="B32" s="25" t="s">
        <v>106</v>
      </c>
      <c r="C32" s="25" t="s">
        <v>66</v>
      </c>
      <c r="D32" s="25"/>
      <c r="E32" s="25"/>
      <c r="F32" s="25"/>
      <c r="G32" s="9">
        <v>2</v>
      </c>
      <c r="H32" s="9">
        <v>4</v>
      </c>
      <c r="I32" s="9">
        <f t="shared" si="0"/>
        <v>1</v>
      </c>
    </row>
    <row r="33" spans="1:9" x14ac:dyDescent="0.35">
      <c r="A33" t="s">
        <v>178</v>
      </c>
      <c r="B33" s="25" t="s">
        <v>62</v>
      </c>
      <c r="C33" s="25" t="s">
        <v>71</v>
      </c>
      <c r="D33" s="25" t="s">
        <v>73</v>
      </c>
      <c r="E33" s="25" t="s">
        <v>92</v>
      </c>
      <c r="F33" s="25"/>
      <c r="G33" s="9">
        <v>4</v>
      </c>
      <c r="H33" s="9">
        <v>8</v>
      </c>
      <c r="I33" s="9">
        <f t="shared" si="0"/>
        <v>1</v>
      </c>
    </row>
    <row r="34" spans="1:9" x14ac:dyDescent="0.35">
      <c r="A34" t="s">
        <v>187</v>
      </c>
      <c r="B34" s="25" t="s">
        <v>161</v>
      </c>
      <c r="C34" s="25" t="s">
        <v>89</v>
      </c>
      <c r="D34" s="25"/>
      <c r="E34" s="25"/>
      <c r="F34" s="25"/>
      <c r="G34" s="9">
        <v>2</v>
      </c>
      <c r="H34" s="9">
        <v>4</v>
      </c>
      <c r="I34" s="9">
        <f t="shared" si="0"/>
        <v>1</v>
      </c>
    </row>
    <row r="35" spans="1:9" x14ac:dyDescent="0.35">
      <c r="A35" t="s">
        <v>185</v>
      </c>
      <c r="B35" s="25" t="s">
        <v>133</v>
      </c>
      <c r="C35" s="25" t="s">
        <v>81</v>
      </c>
      <c r="D35" s="25"/>
      <c r="E35" s="25"/>
      <c r="F35" s="25"/>
      <c r="G35" s="9">
        <v>2</v>
      </c>
      <c r="H35" s="9">
        <v>4</v>
      </c>
      <c r="I35" s="9">
        <f t="shared" si="0"/>
        <v>1</v>
      </c>
    </row>
    <row r="36" spans="1:9" x14ac:dyDescent="0.35">
      <c r="A36" t="s">
        <v>183</v>
      </c>
      <c r="B36" s="25" t="s">
        <v>110</v>
      </c>
      <c r="C36" s="25" t="s">
        <v>91</v>
      </c>
      <c r="D36" s="25"/>
      <c r="E36" s="25"/>
      <c r="F36" s="25"/>
      <c r="G36" s="9">
        <v>2</v>
      </c>
      <c r="H36" s="9">
        <v>4</v>
      </c>
      <c r="I36" s="9">
        <f t="shared" si="0"/>
        <v>1</v>
      </c>
    </row>
    <row r="37" spans="1:9" x14ac:dyDescent="0.35">
      <c r="A37" t="s">
        <v>222</v>
      </c>
      <c r="B37" s="25" t="s">
        <v>172</v>
      </c>
      <c r="C37" s="25"/>
      <c r="D37" s="25"/>
      <c r="E37" s="25"/>
      <c r="F37" s="25"/>
      <c r="G37" s="9">
        <v>1</v>
      </c>
      <c r="H37" s="9">
        <v>2</v>
      </c>
      <c r="I37" s="9">
        <f t="shared" si="0"/>
        <v>1</v>
      </c>
    </row>
    <row r="38" spans="1:9" x14ac:dyDescent="0.35">
      <c r="A38" t="s">
        <v>194</v>
      </c>
      <c r="B38" s="25" t="s">
        <v>139</v>
      </c>
      <c r="C38" s="25" t="s">
        <v>75</v>
      </c>
      <c r="D38" s="25" t="s">
        <v>81</v>
      </c>
      <c r="E38" s="25"/>
      <c r="F38" s="25"/>
      <c r="G38" s="9">
        <v>3</v>
      </c>
      <c r="H38" s="9">
        <v>6</v>
      </c>
      <c r="I38" s="9">
        <f t="shared" si="0"/>
        <v>1</v>
      </c>
    </row>
    <row r="39" spans="1:9" x14ac:dyDescent="0.35">
      <c r="A39" t="s">
        <v>189</v>
      </c>
      <c r="B39" s="26" t="s">
        <v>221</v>
      </c>
      <c r="C39" s="26" t="s">
        <v>87</v>
      </c>
      <c r="D39" s="26"/>
      <c r="E39" s="26"/>
      <c r="F39" s="26"/>
      <c r="G39" s="9">
        <v>2</v>
      </c>
      <c r="H39" s="9">
        <v>4</v>
      </c>
      <c r="I39" s="9">
        <f t="shared" si="0"/>
        <v>1</v>
      </c>
    </row>
    <row r="40" spans="1:9" x14ac:dyDescent="0.35">
      <c r="A40" s="24" t="s">
        <v>196</v>
      </c>
      <c r="B40" s="25" t="s">
        <v>149</v>
      </c>
      <c r="C40" s="25" t="s">
        <v>125</v>
      </c>
      <c r="D40" s="24"/>
      <c r="E40" s="24"/>
      <c r="F40" s="24"/>
      <c r="G40" s="9">
        <v>2</v>
      </c>
    </row>
  </sheetData>
  <mergeCells count="2">
    <mergeCell ref="B1:F1"/>
    <mergeCell ref="J4:O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F15F-0DF1-4F91-912E-FD2337AF4682}">
  <dimension ref="A1:H46"/>
  <sheetViews>
    <sheetView workbookViewId="0">
      <selection activeCell="C47" sqref="C47"/>
    </sheetView>
  </sheetViews>
  <sheetFormatPr defaultColWidth="14.36328125" defaultRowHeight="14.5" x14ac:dyDescent="0.35"/>
  <cols>
    <col min="1" max="1" width="65.36328125" bestFit="1" customWidth="1"/>
    <col min="2" max="2" width="15.6328125" bestFit="1" customWidth="1"/>
    <col min="3" max="3" width="16" customWidth="1"/>
    <col min="4" max="4" width="21.36328125" bestFit="1" customWidth="1"/>
  </cols>
  <sheetData>
    <row r="1" spans="1:8" ht="29" x14ac:dyDescent="0.35">
      <c r="A1" s="1"/>
      <c r="B1" s="2" t="s">
        <v>0</v>
      </c>
      <c r="C1" s="3" t="s">
        <v>1</v>
      </c>
      <c r="D1" s="1"/>
    </row>
    <row r="2" spans="1:8" ht="29.5" thickBot="1" x14ac:dyDescent="0.4">
      <c r="A2" s="4" t="s">
        <v>2</v>
      </c>
      <c r="B2" s="5" t="s">
        <v>3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8" ht="29.5" thickBot="1" x14ac:dyDescent="0.4">
      <c r="A3" s="6" t="s">
        <v>8</v>
      </c>
      <c r="B3" s="7">
        <v>11.116824000000001</v>
      </c>
      <c r="C3" s="7">
        <v>9.57</v>
      </c>
      <c r="D3" s="7">
        <v>36.21</v>
      </c>
      <c r="E3" s="8" t="s">
        <v>9</v>
      </c>
      <c r="F3" s="7">
        <v>6.45</v>
      </c>
      <c r="G3" s="9"/>
    </row>
    <row r="4" spans="1:8" ht="29.5" thickBot="1" x14ac:dyDescent="0.4">
      <c r="A4" s="10" t="s">
        <v>10</v>
      </c>
      <c r="B4" s="7">
        <v>0.96</v>
      </c>
      <c r="C4" s="7">
        <v>0.32</v>
      </c>
      <c r="D4" s="7">
        <v>38.68</v>
      </c>
      <c r="E4" s="8" t="s">
        <v>11</v>
      </c>
      <c r="F4" s="7">
        <v>0</v>
      </c>
      <c r="G4" s="9"/>
    </row>
    <row r="5" spans="1:8" ht="29.5" thickBot="1" x14ac:dyDescent="0.4">
      <c r="A5" s="10" t="s">
        <v>12</v>
      </c>
      <c r="B5" s="7">
        <v>1.2231050000000001</v>
      </c>
      <c r="C5" s="7">
        <v>0.74</v>
      </c>
      <c r="D5" s="7">
        <v>18.77</v>
      </c>
      <c r="E5" s="11" t="s">
        <v>13</v>
      </c>
      <c r="F5" s="7">
        <v>0</v>
      </c>
      <c r="G5" s="9"/>
    </row>
    <row r="6" spans="1:8" ht="15" thickBot="1" x14ac:dyDescent="0.4">
      <c r="A6" s="10" t="s">
        <v>14</v>
      </c>
      <c r="B6" s="7">
        <v>12</v>
      </c>
      <c r="C6" s="7">
        <v>12.12</v>
      </c>
      <c r="D6" s="7">
        <v>105</v>
      </c>
      <c r="E6" s="7">
        <v>2985.7890000000002</v>
      </c>
      <c r="F6" s="7">
        <v>72.67</v>
      </c>
      <c r="G6" s="9"/>
      <c r="H6" t="s">
        <v>15</v>
      </c>
    </row>
    <row r="7" spans="1:8" ht="15" thickBot="1" x14ac:dyDescent="0.4">
      <c r="A7" s="10" t="s">
        <v>16</v>
      </c>
      <c r="B7" s="7">
        <v>8.6999999999999993</v>
      </c>
      <c r="C7" s="7">
        <v>7.43</v>
      </c>
      <c r="D7" s="7">
        <v>23.5</v>
      </c>
      <c r="E7" s="7">
        <v>1391.9870000000001</v>
      </c>
      <c r="F7" s="7">
        <v>17.309999999999999</v>
      </c>
      <c r="G7" s="9"/>
    </row>
    <row r="8" spans="1:8" ht="15" thickBot="1" x14ac:dyDescent="0.4">
      <c r="A8" s="10" t="s">
        <v>17</v>
      </c>
      <c r="B8" s="7">
        <v>50.253997999999989</v>
      </c>
      <c r="C8" s="7">
        <v>39.93</v>
      </c>
      <c r="D8" s="7">
        <v>170.59</v>
      </c>
      <c r="E8" s="9">
        <v>960.87400000000002</v>
      </c>
      <c r="F8" s="9">
        <v>12.554</v>
      </c>
      <c r="G8" s="9"/>
    </row>
    <row r="9" spans="1:8" ht="15" thickBot="1" x14ac:dyDescent="0.4">
      <c r="A9" s="10" t="s">
        <v>18</v>
      </c>
      <c r="B9" s="7">
        <v>12.491001000000002</v>
      </c>
      <c r="C9" s="7">
        <v>9.75</v>
      </c>
      <c r="D9" s="7">
        <v>49.56</v>
      </c>
      <c r="E9" s="7">
        <v>643.78200000000004</v>
      </c>
      <c r="F9" s="7">
        <v>11.752000000000001</v>
      </c>
      <c r="G9" s="9"/>
    </row>
    <row r="10" spans="1:8" ht="15" thickBot="1" x14ac:dyDescent="0.4">
      <c r="A10" s="10" t="s">
        <v>19</v>
      </c>
      <c r="B10" s="7">
        <v>3.8002000000000008E-2</v>
      </c>
      <c r="C10" s="7">
        <v>0.04</v>
      </c>
      <c r="D10" s="7">
        <v>0.04</v>
      </c>
      <c r="E10" s="7">
        <v>3600</v>
      </c>
      <c r="F10" s="7">
        <v>32</v>
      </c>
      <c r="G10" s="9"/>
    </row>
    <row r="11" spans="1:8" ht="15" thickBot="1" x14ac:dyDescent="0.4">
      <c r="A11" s="10" t="s">
        <v>20</v>
      </c>
      <c r="B11" s="7">
        <v>0.3573639999999999</v>
      </c>
      <c r="C11" s="7">
        <v>0.42</v>
      </c>
      <c r="D11" s="7">
        <v>0.47</v>
      </c>
      <c r="E11" s="7">
        <v>1400</v>
      </c>
      <c r="F11" s="7">
        <v>20</v>
      </c>
      <c r="G11" s="9">
        <v>5.3330000000000001E-3</v>
      </c>
    </row>
    <row r="12" spans="1:8" ht="15" thickBot="1" x14ac:dyDescent="0.4">
      <c r="A12" s="10" t="s">
        <v>21</v>
      </c>
      <c r="B12" s="7">
        <v>0.30565999999999999</v>
      </c>
      <c r="C12" s="7">
        <v>0.43</v>
      </c>
      <c r="D12" s="7">
        <v>0.47</v>
      </c>
      <c r="E12" s="7">
        <v>1400</v>
      </c>
      <c r="F12" s="7">
        <v>0</v>
      </c>
      <c r="G12" s="9">
        <v>1.1698999999999999</v>
      </c>
    </row>
    <row r="13" spans="1:8" ht="15" thickBot="1" x14ac:dyDescent="0.4">
      <c r="A13" s="10" t="s">
        <v>22</v>
      </c>
      <c r="B13" s="7">
        <v>0</v>
      </c>
      <c r="C13" s="7">
        <v>0</v>
      </c>
      <c r="D13" s="7">
        <v>15.7</v>
      </c>
      <c r="E13" s="7">
        <v>750</v>
      </c>
      <c r="F13" s="7">
        <v>11.33</v>
      </c>
      <c r="G13" s="9">
        <v>2.5000000000000001E-3</v>
      </c>
    </row>
    <row r="14" spans="1:8" ht="15" thickBot="1" x14ac:dyDescent="0.4">
      <c r="A14" s="10" t="s">
        <v>23</v>
      </c>
      <c r="B14" s="7">
        <v>0</v>
      </c>
      <c r="C14" s="7">
        <v>0</v>
      </c>
      <c r="D14" s="7">
        <v>5.0939999999999994</v>
      </c>
      <c r="E14" s="7">
        <v>749</v>
      </c>
      <c r="F14" s="7">
        <v>7.5</v>
      </c>
      <c r="G14" s="9">
        <v>3.7599999999999999E-3</v>
      </c>
    </row>
    <row r="15" spans="1:8" ht="15" thickBot="1" x14ac:dyDescent="0.4">
      <c r="A15" s="10" t="s">
        <v>24</v>
      </c>
      <c r="B15" s="7">
        <v>0</v>
      </c>
      <c r="C15" s="7">
        <v>0.92</v>
      </c>
      <c r="D15" s="7">
        <v>35.172000999999995</v>
      </c>
      <c r="E15" s="7">
        <v>749.4</v>
      </c>
      <c r="F15" s="7">
        <v>11.33</v>
      </c>
      <c r="G15" s="9">
        <v>2.5000000000000001E-3</v>
      </c>
    </row>
    <row r="16" spans="1:8" ht="15" thickBot="1" x14ac:dyDescent="0.4">
      <c r="A16" s="10" t="s">
        <v>25</v>
      </c>
      <c r="B16" s="7">
        <v>0</v>
      </c>
      <c r="C16" s="7">
        <v>0</v>
      </c>
      <c r="D16" s="7">
        <v>11.093999999999999</v>
      </c>
      <c r="E16" s="7">
        <v>535.92100000000005</v>
      </c>
      <c r="F16" s="7">
        <v>6.181</v>
      </c>
      <c r="G16" s="9">
        <v>3.7599999999999999E-3</v>
      </c>
    </row>
    <row r="17" spans="1:7" ht="15" thickBot="1" x14ac:dyDescent="0.4">
      <c r="A17" s="10" t="s">
        <v>26</v>
      </c>
      <c r="B17" s="7">
        <v>2.9999990000000003</v>
      </c>
      <c r="C17" s="7">
        <v>1.5</v>
      </c>
      <c r="D17" s="7">
        <v>86.13</v>
      </c>
      <c r="E17" s="7">
        <v>1415.546</v>
      </c>
      <c r="F17" s="7">
        <v>12.6</v>
      </c>
      <c r="G17" s="9"/>
    </row>
    <row r="18" spans="1:7" ht="15" thickBot="1" x14ac:dyDescent="0.4">
      <c r="A18" s="10" t="s">
        <v>27</v>
      </c>
      <c r="B18" s="7">
        <v>0</v>
      </c>
      <c r="C18" s="7">
        <v>0</v>
      </c>
      <c r="D18" s="7">
        <v>21.777779000000002</v>
      </c>
      <c r="E18" s="7">
        <v>2000</v>
      </c>
      <c r="F18" s="7">
        <v>10</v>
      </c>
      <c r="G18" s="9"/>
    </row>
    <row r="19" spans="1:7" ht="15" thickBot="1" x14ac:dyDescent="0.4">
      <c r="A19" s="10" t="s">
        <v>28</v>
      </c>
      <c r="B19" s="7">
        <v>0</v>
      </c>
      <c r="C19" s="7">
        <v>0</v>
      </c>
      <c r="D19" s="7">
        <v>21.78</v>
      </c>
      <c r="E19" s="7">
        <v>59.642000000000003</v>
      </c>
      <c r="F19" s="7">
        <v>0.99399999999999999</v>
      </c>
      <c r="G19" s="12">
        <v>5.0000000000000001E-4</v>
      </c>
    </row>
    <row r="20" spans="1:7" ht="15" thickBot="1" x14ac:dyDescent="0.4">
      <c r="A20" s="10" t="s">
        <v>29</v>
      </c>
      <c r="B20" s="7">
        <v>0.48599999999999999</v>
      </c>
      <c r="C20" s="7">
        <v>0.48599999999999999</v>
      </c>
      <c r="D20" s="7">
        <v>3.4860000000000002</v>
      </c>
      <c r="E20" s="7">
        <v>5904</v>
      </c>
      <c r="F20" s="7">
        <v>108</v>
      </c>
      <c r="G20" s="9">
        <v>1.9E-2</v>
      </c>
    </row>
    <row r="21" spans="1:7" ht="15" thickBot="1" x14ac:dyDescent="0.4">
      <c r="A21" s="10" t="s">
        <v>30</v>
      </c>
      <c r="B21" s="9">
        <v>0</v>
      </c>
      <c r="C21" s="9">
        <v>0</v>
      </c>
      <c r="D21" s="9" t="s">
        <v>31</v>
      </c>
      <c r="E21" s="7">
        <v>6301</v>
      </c>
      <c r="F21" s="7">
        <v>124</v>
      </c>
      <c r="G21" s="9">
        <f t="shared" ref="G21:G26" si="0">0.02</f>
        <v>0.02</v>
      </c>
    </row>
    <row r="22" spans="1:7" ht="15" thickBot="1" x14ac:dyDescent="0.4">
      <c r="A22" s="10" t="s">
        <v>32</v>
      </c>
      <c r="B22" s="9">
        <v>0</v>
      </c>
      <c r="C22" s="9">
        <v>0</v>
      </c>
      <c r="D22" s="9" t="s">
        <v>33</v>
      </c>
      <c r="E22" s="7">
        <v>6301</v>
      </c>
      <c r="F22" s="7">
        <v>124</v>
      </c>
      <c r="G22" s="9">
        <f t="shared" si="0"/>
        <v>0.02</v>
      </c>
    </row>
    <row r="23" spans="1:7" ht="15" thickBot="1" x14ac:dyDescent="0.4">
      <c r="A23" s="10" t="s">
        <v>34</v>
      </c>
      <c r="B23" s="9">
        <v>0</v>
      </c>
      <c r="C23" s="9">
        <v>0</v>
      </c>
      <c r="D23" s="9" t="s">
        <v>35</v>
      </c>
      <c r="E23" s="7">
        <v>6301</v>
      </c>
      <c r="F23" s="7">
        <v>124</v>
      </c>
      <c r="G23" s="9">
        <f t="shared" si="0"/>
        <v>0.02</v>
      </c>
    </row>
    <row r="24" spans="1:7" ht="15" thickBot="1" x14ac:dyDescent="0.4">
      <c r="A24" s="10" t="s">
        <v>36</v>
      </c>
      <c r="B24" s="9">
        <v>0</v>
      </c>
      <c r="C24" s="9">
        <v>0</v>
      </c>
      <c r="D24" s="9" t="s">
        <v>31</v>
      </c>
      <c r="E24" s="7">
        <v>6301</v>
      </c>
      <c r="F24" s="7">
        <v>124</v>
      </c>
      <c r="G24" s="9">
        <f t="shared" si="0"/>
        <v>0.02</v>
      </c>
    </row>
    <row r="25" spans="1:7" ht="15" thickBot="1" x14ac:dyDescent="0.4">
      <c r="A25" s="10" t="s">
        <v>37</v>
      </c>
      <c r="B25" s="9">
        <v>0</v>
      </c>
      <c r="C25" s="9">
        <v>0</v>
      </c>
      <c r="D25" s="9" t="s">
        <v>33</v>
      </c>
      <c r="E25" s="7">
        <v>6301</v>
      </c>
      <c r="F25" s="7">
        <v>124</v>
      </c>
      <c r="G25" s="9">
        <f t="shared" si="0"/>
        <v>0.02</v>
      </c>
    </row>
    <row r="26" spans="1:7" ht="15" thickBot="1" x14ac:dyDescent="0.4">
      <c r="A26" s="10" t="s">
        <v>38</v>
      </c>
      <c r="B26" s="9">
        <v>0</v>
      </c>
      <c r="C26" s="9">
        <v>0</v>
      </c>
      <c r="D26" s="9" t="s">
        <v>35</v>
      </c>
      <c r="E26" s="7">
        <v>6301</v>
      </c>
      <c r="F26" s="7">
        <v>124</v>
      </c>
      <c r="G26" s="9">
        <f t="shared" si="0"/>
        <v>0.02</v>
      </c>
    </row>
    <row r="28" spans="1:7" x14ac:dyDescent="0.35">
      <c r="A28" s="13" t="s">
        <v>39</v>
      </c>
      <c r="B28" s="9">
        <v>11.4</v>
      </c>
      <c r="C28" s="9">
        <v>11.4</v>
      </c>
      <c r="D28" s="9">
        <v>11.4</v>
      </c>
      <c r="G28" s="9">
        <v>1.7000000000000001E-2</v>
      </c>
    </row>
    <row r="29" spans="1:7" x14ac:dyDescent="0.35">
      <c r="A29" s="13" t="s">
        <v>40</v>
      </c>
      <c r="B29" s="9">
        <v>60</v>
      </c>
      <c r="C29" s="9">
        <v>60</v>
      </c>
      <c r="D29" s="9">
        <v>60</v>
      </c>
      <c r="E29" s="9" t="s">
        <v>41</v>
      </c>
      <c r="F29" s="7">
        <v>10.567</v>
      </c>
      <c r="G29" s="9">
        <v>3.03</v>
      </c>
    </row>
    <row r="30" spans="1:7" x14ac:dyDescent="0.35">
      <c r="A30" s="13" t="s">
        <v>42</v>
      </c>
      <c r="B30" s="9">
        <v>35</v>
      </c>
      <c r="C30" s="9">
        <v>35</v>
      </c>
      <c r="D30" s="9">
        <v>35</v>
      </c>
      <c r="E30" s="9">
        <v>946</v>
      </c>
      <c r="F30" s="9" t="s">
        <v>43</v>
      </c>
      <c r="G30" s="9">
        <v>2.0999999999999999E-3</v>
      </c>
    </row>
    <row r="31" spans="1:7" x14ac:dyDescent="0.35">
      <c r="D31" s="9"/>
    </row>
    <row r="32" spans="1:7" x14ac:dyDescent="0.35">
      <c r="A32" s="13" t="s">
        <v>44</v>
      </c>
      <c r="B32" s="7">
        <v>134.98319200000003</v>
      </c>
      <c r="C32" s="7">
        <v>134.98319200000003</v>
      </c>
      <c r="D32" s="7">
        <v>159.34177700000001</v>
      </c>
      <c r="E32" s="7">
        <v>364</v>
      </c>
      <c r="F32" s="7">
        <v>0</v>
      </c>
      <c r="G32" t="s">
        <v>45</v>
      </c>
    </row>
    <row r="33" spans="1:7" x14ac:dyDescent="0.35">
      <c r="A33" s="13" t="s">
        <v>46</v>
      </c>
      <c r="B33" s="9">
        <v>12.6</v>
      </c>
      <c r="C33" s="9">
        <v>12.6</v>
      </c>
      <c r="D33" s="9">
        <v>12.6</v>
      </c>
      <c r="E33" s="9">
        <v>364</v>
      </c>
      <c r="F33" s="9">
        <v>0</v>
      </c>
      <c r="G33" t="s">
        <v>45</v>
      </c>
    </row>
    <row r="36" spans="1:7" x14ac:dyDescent="0.35">
      <c r="A36" t="s">
        <v>47</v>
      </c>
      <c r="B36" s="14">
        <v>326.42599999999999</v>
      </c>
      <c r="C36" s="9">
        <v>278.67899999999997</v>
      </c>
    </row>
    <row r="37" spans="1:7" x14ac:dyDescent="0.35">
      <c r="A37" t="s">
        <v>48</v>
      </c>
      <c r="B37" s="14">
        <v>6.2774999999999999</v>
      </c>
      <c r="C37" s="14">
        <v>8.7748860000000004</v>
      </c>
    </row>
    <row r="38" spans="1:7" x14ac:dyDescent="0.35">
      <c r="A38" t="s">
        <v>49</v>
      </c>
      <c r="B38" s="14">
        <v>36.496000000000002</v>
      </c>
      <c r="C38" s="9">
        <v>37.509</v>
      </c>
    </row>
    <row r="41" spans="1:7" x14ac:dyDescent="0.35">
      <c r="A41" s="15" t="s">
        <v>50</v>
      </c>
    </row>
    <row r="42" spans="1:7" x14ac:dyDescent="0.35">
      <c r="A42" t="s">
        <v>51</v>
      </c>
    </row>
    <row r="43" spans="1:7" x14ac:dyDescent="0.35">
      <c r="A43" t="s">
        <v>52</v>
      </c>
    </row>
    <row r="44" spans="1:7" x14ac:dyDescent="0.35">
      <c r="A44" t="s">
        <v>53</v>
      </c>
    </row>
    <row r="45" spans="1:7" x14ac:dyDescent="0.35">
      <c r="A45" t="s">
        <v>54</v>
      </c>
    </row>
    <row r="46" spans="1:7" x14ac:dyDescent="0.35">
      <c r="A46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Uitleg</vt:lpstr>
      <vt:lpstr>Nodes</vt:lpstr>
      <vt:lpstr>Links</vt:lpstr>
      <vt:lpstr>Interconnectors</vt:lpstr>
      <vt:lpstr>E-BKR</vt:lpstr>
      <vt:lpstr>Links_overview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Hasselaar, K. (Kevin)</dc:creator>
  <cp:lastModifiedBy>Hasselaar, K. (Kevin)</cp:lastModifiedBy>
  <dcterms:created xsi:type="dcterms:W3CDTF">2025-11-20T15:59:29Z</dcterms:created>
  <dcterms:modified xsi:type="dcterms:W3CDTF">2025-11-20T17:06:23Z</dcterms:modified>
</cp:coreProperties>
</file>